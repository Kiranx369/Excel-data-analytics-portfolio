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91976\Desktop\ff\excel\New folder\New folder\"/>
    </mc:Choice>
  </mc:AlternateContent>
  <bookViews>
    <workbookView xWindow="0" yWindow="0" windowWidth="19200" windowHeight="7680" activeTab="1"/>
  </bookViews>
  <sheets>
    <sheet name="Sheet1" sheetId="1" r:id="rId1"/>
    <sheet name="Sheet3" sheetId="3" r:id="rId2"/>
  </sheets>
  <definedNames>
    <definedName name="Slicer_Attrition">#N/A</definedName>
    <definedName name="Slicer_JobSatisfaction">#N/A</definedName>
    <definedName name="Slicer_RelationshipSatisfaction">#N/A</definedName>
  </definedNames>
  <calcPr calcId="162913"/>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s>
  <extLst>
    <ext xmlns:x14="http://schemas.microsoft.com/office/spreadsheetml/2009/9/main" uri="{876F7934-8845-4945-9796-88D515C7AA90}">
      <x14:pivotCaches>
        <pivotCache cacheId="15" r:id="rId18"/>
        <pivotCache cacheId="16"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UseC_-HR-Employee-Attrition_707f51e8-d00a-4359-a240-75fb6b06a4bb" name="WA_Fn-UseC_-HR-Employee-Attrition" connection="Query - WA_Fn-UseC_-HR-Employee-Attrition"/>
        </x15:modelTables>
      </x15:dataModel>
    </ext>
  </extLst>
</workbook>
</file>

<file path=xl/connections.xml><?xml version="1.0" encoding="utf-8"?>
<connections xmlns="http://schemas.openxmlformats.org/spreadsheetml/2006/main">
  <connection id="1" name="Query - WA_Fn-UseC_-HR-Employee-Attrition" description="Connection to the 'WA_Fn-UseC_-HR-Employee-Attrition' query in the workbook." type="100" refreshedVersion="6" minRefreshableVersion="5">
    <extLst>
      <ext xmlns:x15="http://schemas.microsoft.com/office/spreadsheetml/2010/11/main" uri="{DE250136-89BD-433C-8126-D09CA5730AF9}">
        <x15:connection id="4d6a32f0-a3ac-4c5b-954b-0af748e811a9"/>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<sst xmlns="http://schemas.openxmlformats.org/spreadsheetml/2006/main" count="61" uniqueCount="42">
  <si>
    <t>Count of EmployeeNumber</t>
  </si>
  <si>
    <t>Sum of MonthlyIncome</t>
  </si>
  <si>
    <t>Sum of TotalWorkingYears</t>
  </si>
  <si>
    <t>Sum of DailyRate</t>
  </si>
  <si>
    <t>Average of DailyRate</t>
  </si>
  <si>
    <t>Sum of DistanceFromHome</t>
  </si>
  <si>
    <t>Average of JobSatisfaction</t>
  </si>
  <si>
    <t>Sum of PerformanceRating</t>
  </si>
  <si>
    <t>Average of PerformanceRating</t>
  </si>
  <si>
    <t>No</t>
  </si>
  <si>
    <t>Research &amp; Development</t>
  </si>
  <si>
    <t>Medical</t>
  </si>
  <si>
    <t>Male</t>
  </si>
  <si>
    <t>Laboratory Technician</t>
  </si>
  <si>
    <t>Divorced</t>
  </si>
  <si>
    <t>Yes</t>
  </si>
  <si>
    <t>Sales</t>
  </si>
  <si>
    <t>Technical Degree</t>
  </si>
  <si>
    <t>Sales Representative</t>
  </si>
  <si>
    <t>Married</t>
  </si>
  <si>
    <t>Other</t>
  </si>
  <si>
    <t>Life Sciences</t>
  </si>
  <si>
    <t>Female</t>
  </si>
  <si>
    <t>Single</t>
  </si>
  <si>
    <t>Research Scientist</t>
  </si>
  <si>
    <t>Healthcare Representative</t>
  </si>
  <si>
    <t>Manufacturing Director</t>
  </si>
  <si>
    <t>Manager</t>
  </si>
  <si>
    <t>Sales Executive</t>
  </si>
  <si>
    <t>Research Director</t>
  </si>
  <si>
    <t>Marketing</t>
  </si>
  <si>
    <t>Human Resources</t>
  </si>
  <si>
    <t>Average of YearsAtCompany</t>
  </si>
  <si>
    <t>Row Labels</t>
  </si>
  <si>
    <t>Grand Total</t>
  </si>
  <si>
    <t>Count of Department</t>
  </si>
  <si>
    <t>Column Labels</t>
  </si>
  <si>
    <t>Count of BusinessTravel</t>
  </si>
  <si>
    <t>Sum of MonthlyRate</t>
  </si>
  <si>
    <t>Sum of EnvironmentSatisfaction</t>
  </si>
  <si>
    <t>Count of Attrition</t>
  </si>
  <si>
    <t>Average of MonthlyIncome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</si>
</sst>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 #,##0;#,##0\ \-&quot;₹&quot;;&quot;₹&quot;\ #,##0"/>
    <numFmt numFmtId="165" formatCode="\$#,##0.0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0"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cellXfs>
  <cellStyles count="1">
    <cellStyle name="Normal" xfId="0" builtinId="0"/>
  </cellStyles>
  <dxfs count="34">
    <dxf>
      <font>
        <b/>
        <i val="0"/>
        <sz val="16"/>
        <name val="Arial Rounded MT Bold"/>
        <scheme val="none"/>
      </font>
    </dxf>
    <dxf>
      <font>
        <sz val="16"/>
        <name val="Arial Rounded MT Bold"/>
        <scheme val="none"/>
      </font>
      <fill>
        <patternFill>
          <bgColor theme="7" tint="0.79998168889431442"/>
        </patternFill>
      </fill>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numFmt numFmtId="0" formatCode="General"/>
    </dxf>
    <dxf>
      <numFmt numFmtId="13" formatCode="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numFmt numFmtId="164" formatCode="&quot;₹&quot;\ #,##0;#,##0\ \-&quot;₹&quot;;&quot;₹&quot;\ #,##0"/>
    </dxf>
    <dxf>
      <numFmt numFmtId="172" formatCode="&quot;₹&quot;\ #,##0.0;#,##0.0\ \-&quot;₹&quot;;&quot;₹&quot;\ #,##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s>
  <tableStyles count="1" defaultTableStyle="TableStyleMedium2" defaultPivotStyle="PivotStyleLight16">
    <tableStyle name="Slicer Style 1" pivot="0" table="0" count="8">
      <tableStyleElement type="wholeTable" dxfId="1"/>
      <tableStyleElement type="headerRow" dxfId="0"/>
    </tableStyle>
  </tableStyles>
  <extLst>
    <ext xmlns:x14="http://schemas.microsoft.com/office/spreadsheetml/2009/9/main" uri="{46F421CA-312F-682f-3DD2-61675219B42D}">
      <x14:dxfs count="12">
        <dxf>
          <fill>
            <patternFill>
              <bgColor rgb="FF92D05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4" tint="-0.24994659260841701"/>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customXml" Target="../customXml/item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(Recovered).xlsx]Sheet1!PivotTable10</c:name>
    <c:fmtId val="2"/>
  </c:pivotSource>
  <c:chart>
    <c:title>
      <c:tx>
        <c:rich>
          <a:bodyPr rot="0" spcFirstLastPara="1" vertOverflow="ellipsis" vert="horz" wrap="square" anchor="ctr" anchorCtr="1"/>
          <a:lstStyle/>
          <a:p>
            <a:pPr>
              <a:defRPr sz="1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Attrition rate by Education Field </a:t>
            </a:r>
            <a:endParaRPr lang="en-US"/>
          </a:p>
        </c:rich>
      </c:tx>
      <c:layout>
        <c:manualLayout>
          <c:xMode val="edge"/>
          <c:yMode val="edge"/>
          <c:x val="3.3777380616373649E-2"/>
          <c:y val="3.0913599445293882E-2"/>
        </c:manualLayout>
      </c:layout>
      <c:overlay val="0"/>
      <c:spPr>
        <a:noFill/>
        <a:ln>
          <a:noFill/>
        </a:ln>
        <a:effectLst/>
      </c:spPr>
      <c:txPr>
        <a:bodyPr rot="0" spcFirstLastPara="1" vertOverflow="ellipsis" vert="horz" wrap="square" anchor="ctr" anchorCtr="1"/>
        <a:lstStyle/>
        <a:p>
          <a:pPr>
            <a:defRPr sz="1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Sheet1!$C$14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Sheet1!$B$15:$B$21</c:f>
              <c:strCache>
                <c:ptCount val="6"/>
                <c:pt idx="0">
                  <c:v>Human Resources</c:v>
                </c:pt>
                <c:pt idx="1">
                  <c:v>Life Sciences</c:v>
                </c:pt>
                <c:pt idx="2">
                  <c:v>Marketing</c:v>
                </c:pt>
                <c:pt idx="3">
                  <c:v>Medical</c:v>
                </c:pt>
                <c:pt idx="4">
                  <c:v>Other</c:v>
                </c:pt>
                <c:pt idx="5">
                  <c:v>Technical Degree</c:v>
                </c:pt>
              </c:strCache>
            </c:strRef>
          </c:cat>
          <c:val>
            <c:numRef>
              <c:f>Sheet1!$C$15:$C$21</c:f>
              <c:numCache>
                <c:formatCode>0.00%</c:formatCode>
                <c:ptCount val="6"/>
                <c:pt idx="0">
                  <c:v>5.2813780484574583E-3</c:v>
                </c:pt>
                <c:pt idx="1">
                  <c:v>0.3827858046664398</c:v>
                </c:pt>
                <c:pt idx="2">
                  <c:v>0.14174346602659843</c:v>
                </c:pt>
                <c:pt idx="3">
                  <c:v>0.36446602456085303</c:v>
                </c:pt>
                <c:pt idx="4">
                  <c:v>2.8275340732424444E-2</c:v>
                </c:pt>
                <c:pt idx="5">
                  <c:v>7.7447985965226854E-2</c:v>
                </c:pt>
              </c:numCache>
            </c:numRef>
          </c:val>
          <c:extLst>
            <c:ext xmlns:c16="http://schemas.microsoft.com/office/drawing/2014/chart" uri="{C3380CC4-5D6E-409C-BE32-E72D297353CC}">
              <c16:uniqueId val="{00000000-6507-4B87-A0B0-8D3254F8DA42}"/>
            </c:ext>
          </c:extLst>
        </c:ser>
        <c:dLbls>
          <c:dLblPos val="outEnd"/>
          <c:showLegendKey val="0"/>
          <c:showVal val="1"/>
          <c:showCatName val="0"/>
          <c:showSerName val="0"/>
          <c:showPercent val="0"/>
          <c:showBubbleSize val="0"/>
        </c:dLbls>
        <c:gapWidth val="100"/>
        <c:overlap val="-24"/>
        <c:axId val="1853720144"/>
        <c:axId val="1853708496"/>
      </c:barChart>
      <c:catAx>
        <c:axId val="18537201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853708496"/>
        <c:crosses val="autoZero"/>
        <c:auto val="1"/>
        <c:lblAlgn val="ctr"/>
        <c:lblOffset val="100"/>
        <c:noMultiLvlLbl val="0"/>
      </c:catAx>
      <c:valAx>
        <c:axId val="18537084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853720144"/>
        <c:crosses val="autoZero"/>
        <c:crossBetween val="between"/>
      </c:valAx>
      <c:spPr>
        <a:noFill/>
        <a:ln>
          <a:noFill/>
        </a:ln>
        <a:effectLst/>
      </c:spPr>
    </c:plotArea>
    <c:plotVisOnly val="1"/>
    <c:dispBlanksAs val="gap"/>
    <c:showDLblsOverMax val="0"/>
  </c:chart>
  <c:spPr>
    <a:solidFill>
      <a:schemeClr val="accent1">
        <a:lumMod val="50000"/>
      </a:schemeClr>
    </a:solidFill>
    <a:ln>
      <a:noFill/>
    </a:ln>
    <a:effectLst>
      <a:outerShdw blurRad="63500" sx="102000" sy="102000" algn="ctr" rotWithShape="0">
        <a:prstClr val="black">
          <a:alpha val="40000"/>
        </a:prstClr>
      </a:outerShdw>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(Recovered).xlsx]Sheet1!PivotTable11</c:name>
    <c:fmtId val="5"/>
  </c:pivotSource>
  <c:chart>
    <c:title>
      <c:tx>
        <c:rich>
          <a:bodyPr rot="0" spcFirstLastPara="1" vertOverflow="ellipsis" vert="horz" wrap="square" anchor="ctr" anchorCtr="1"/>
          <a:lstStyle/>
          <a:p>
            <a:pPr>
              <a:defRPr sz="1400" b="0" i="0" u="none" strike="noStrike" kern="1200" cap="none" spc="0" baseline="0">
                <a:ln w="0">
                  <a:noFill/>
                </a:ln>
                <a:solidFill>
                  <a:schemeClr val="bg2"/>
                </a:solidFill>
                <a:effectLst>
                  <a:outerShdw blurRad="38100" dist="19050" dir="2700000" algn="tl" rotWithShape="0">
                    <a:schemeClr val="dk1">
                      <a:alpha val="40000"/>
                    </a:schemeClr>
                  </a:outerShdw>
                </a:effectLst>
                <a:latin typeface="+mn-lt"/>
                <a:ea typeface="+mn-ea"/>
                <a:cs typeface="+mn-cs"/>
              </a:defRPr>
            </a:pPr>
            <a:r>
              <a:rPr lang="en-US"/>
              <a:t>Monthly Income By JobRole</a:t>
            </a:r>
          </a:p>
        </c:rich>
      </c:tx>
      <c:layout>
        <c:manualLayout>
          <c:xMode val="edge"/>
          <c:yMode val="edge"/>
          <c:x val="0.32278140471763989"/>
          <c:y val="2.8111805298079211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noFill/>
              </a:ln>
              <a:solidFill>
                <a:schemeClr val="bg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Sheet1!$B$23</c:f>
              <c:strCache>
                <c:ptCount val="1"/>
                <c:pt idx="0">
                  <c:v>Total</c:v>
                </c:pt>
              </c:strCache>
            </c:strRef>
          </c:tx>
          <c:spPr>
            <a:solidFill>
              <a:schemeClr val="accent1"/>
            </a:solidFill>
            <a:ln>
              <a:noFill/>
            </a:ln>
            <a:effectLst/>
          </c:spPr>
          <c:invertIfNegative val="0"/>
          <c:cat>
            <c:strRef>
              <c:f>Sheet1!$A$24:$A$33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Sheet1!$B$24:$B$33</c:f>
              <c:numCache>
                <c:formatCode>0.00%</c:formatCode>
                <c:ptCount val="9"/>
                <c:pt idx="0">
                  <c:v>0.10988909130448733</c:v>
                </c:pt>
                <c:pt idx="1">
                  <c:v>7.0792974000092684E-2</c:v>
                </c:pt>
                <c:pt idx="2">
                  <c:v>8.5563866082473863E-2</c:v>
                </c:pt>
                <c:pt idx="3">
                  <c:v>5.4513174641088624E-2</c:v>
                </c:pt>
                <c:pt idx="4">
                  <c:v>0.1389032481167625</c:v>
                </c:pt>
                <c:pt idx="5">
                  <c:v>3.8019472301346523E-2</c:v>
                </c:pt>
                <c:pt idx="6">
                  <c:v>0.25549017650560962</c:v>
                </c:pt>
                <c:pt idx="7">
                  <c:v>0.20784061375895274</c:v>
                </c:pt>
                <c:pt idx="8">
                  <c:v>3.8987383289186134E-2</c:v>
                </c:pt>
              </c:numCache>
            </c:numRef>
          </c:val>
          <c:extLst>
            <c:ext xmlns:c16="http://schemas.microsoft.com/office/drawing/2014/chart" uri="{C3380CC4-5D6E-409C-BE32-E72D297353CC}">
              <c16:uniqueId val="{00000000-D6F2-4E32-9848-F3928C1BBD43}"/>
            </c:ext>
          </c:extLst>
        </c:ser>
        <c:dLbls>
          <c:showLegendKey val="0"/>
          <c:showVal val="0"/>
          <c:showCatName val="0"/>
          <c:showSerName val="0"/>
          <c:showPercent val="0"/>
          <c:showBubbleSize val="0"/>
        </c:dLbls>
        <c:gapWidth val="219"/>
        <c:axId val="1853784656"/>
        <c:axId val="1853768848"/>
      </c:barChart>
      <c:catAx>
        <c:axId val="185378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noFill/>
                </a:ln>
                <a:solidFill>
                  <a:schemeClr val="bg2"/>
                </a:solidFill>
                <a:effectLst>
                  <a:outerShdw blurRad="38100" dist="19050" dir="2700000" algn="tl" rotWithShape="0">
                    <a:schemeClr val="dk1">
                      <a:alpha val="40000"/>
                    </a:schemeClr>
                  </a:outerShdw>
                </a:effectLst>
                <a:latin typeface="+mn-lt"/>
                <a:ea typeface="+mn-ea"/>
                <a:cs typeface="+mn-cs"/>
              </a:defRPr>
            </a:pPr>
            <a:endParaRPr lang="en-US"/>
          </a:p>
        </c:txPr>
        <c:crossAx val="1853768848"/>
        <c:crosses val="autoZero"/>
        <c:auto val="1"/>
        <c:lblAlgn val="ctr"/>
        <c:lblOffset val="100"/>
        <c:noMultiLvlLbl val="0"/>
      </c:catAx>
      <c:valAx>
        <c:axId val="185376884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noFill/>
                </a:ln>
                <a:solidFill>
                  <a:schemeClr val="bg2"/>
                </a:solidFill>
                <a:effectLst>
                  <a:outerShdw blurRad="38100" dist="19050" dir="2700000" algn="tl" rotWithShape="0">
                    <a:schemeClr val="dk1">
                      <a:alpha val="40000"/>
                    </a:schemeClr>
                  </a:outerShdw>
                </a:effectLst>
                <a:latin typeface="+mn-lt"/>
                <a:ea typeface="+mn-ea"/>
                <a:cs typeface="+mn-cs"/>
              </a:defRPr>
            </a:pPr>
            <a:endParaRPr lang="en-US"/>
          </a:p>
        </c:txPr>
        <c:crossAx val="1853784656"/>
        <c:crosses val="autoZero"/>
        <c:crossBetween val="between"/>
      </c:valAx>
      <c:spPr>
        <a:noFill/>
        <a:ln>
          <a:noFill/>
        </a:ln>
        <a:effectLst/>
      </c:spPr>
    </c:plotArea>
    <c:plotVisOnly val="1"/>
    <c:dispBlanksAs val="zero"/>
    <c:showDLblsOverMax val="0"/>
  </c:chart>
  <c:spPr>
    <a:solidFill>
      <a:schemeClr val="accent1">
        <a:lumMod val="5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b="0" cap="none" spc="0">
          <a:ln w="0">
            <a:noFill/>
          </a:ln>
          <a:solidFill>
            <a:schemeClr val="bg2"/>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(Recovered).xlsx]Sheet1!PivotTable13</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solidFill>
                  <a:schemeClr val="bg1"/>
                </a:solidFill>
              </a:rPr>
              <a:t>Overtime vs MartialStatus  Performance</a:t>
            </a:r>
          </a:p>
        </c:rich>
      </c:tx>
      <c:layout>
        <c:manualLayout>
          <c:xMode val="edge"/>
          <c:yMode val="edge"/>
          <c:x val="8.2826955486676651E-2"/>
          <c:y val="1.4472283014040964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Sheet1!$G$9:$G$10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Sheet1!$F$11:$F$14</c:f>
              <c:strCache>
                <c:ptCount val="3"/>
                <c:pt idx="0">
                  <c:v>Divorced</c:v>
                </c:pt>
                <c:pt idx="1">
                  <c:v>Married</c:v>
                </c:pt>
                <c:pt idx="2">
                  <c:v>Single</c:v>
                </c:pt>
              </c:strCache>
            </c:strRef>
          </c:cat>
          <c:val>
            <c:numRef>
              <c:f>Sheet1!$G$11:$G$14</c:f>
              <c:numCache>
                <c:formatCode>0.00%</c:formatCode>
                <c:ptCount val="3"/>
                <c:pt idx="0">
                  <c:v>0.65454545454545454</c:v>
                </c:pt>
                <c:pt idx="1">
                  <c:v>0.81034482758620685</c:v>
                </c:pt>
                <c:pt idx="2">
                  <c:v>0.77500000000000002</c:v>
                </c:pt>
              </c:numCache>
            </c:numRef>
          </c:val>
          <c:extLst>
            <c:ext xmlns:c16="http://schemas.microsoft.com/office/drawing/2014/chart" uri="{C3380CC4-5D6E-409C-BE32-E72D297353CC}">
              <c16:uniqueId val="{00000000-5809-4E2C-9E65-D447495AC72A}"/>
            </c:ext>
          </c:extLst>
        </c:ser>
        <c:ser>
          <c:idx val="1"/>
          <c:order val="1"/>
          <c:tx>
            <c:strRef>
              <c:f>Sheet1!$H$9:$H$10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Sheet1!$F$11:$F$14</c:f>
              <c:strCache>
                <c:ptCount val="3"/>
                <c:pt idx="0">
                  <c:v>Divorced</c:v>
                </c:pt>
                <c:pt idx="1">
                  <c:v>Married</c:v>
                </c:pt>
                <c:pt idx="2">
                  <c:v>Single</c:v>
                </c:pt>
              </c:strCache>
            </c:strRef>
          </c:cat>
          <c:val>
            <c:numRef>
              <c:f>Sheet1!$H$11:$H$14</c:f>
              <c:numCache>
                <c:formatCode>0.00%</c:formatCode>
                <c:ptCount val="3"/>
                <c:pt idx="0">
                  <c:v>0.34545454545454546</c:v>
                </c:pt>
                <c:pt idx="1">
                  <c:v>0.18965517241379309</c:v>
                </c:pt>
                <c:pt idx="2">
                  <c:v>0.22500000000000001</c:v>
                </c:pt>
              </c:numCache>
            </c:numRef>
          </c:val>
          <c:extLst>
            <c:ext xmlns:c16="http://schemas.microsoft.com/office/drawing/2014/chart" uri="{C3380CC4-5D6E-409C-BE32-E72D297353CC}">
              <c16:uniqueId val="{00000001-5809-4E2C-9E65-D447495AC72A}"/>
            </c:ext>
          </c:extLst>
        </c:ser>
        <c:dLbls>
          <c:showLegendKey val="0"/>
          <c:showVal val="0"/>
          <c:showCatName val="0"/>
          <c:showSerName val="0"/>
          <c:showPercent val="0"/>
          <c:showBubbleSize val="0"/>
        </c:dLbls>
        <c:gapWidth val="182"/>
        <c:axId val="1852103440"/>
        <c:axId val="1852096368"/>
      </c:barChart>
      <c:catAx>
        <c:axId val="185210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1852096368"/>
        <c:crosses val="autoZero"/>
        <c:auto val="1"/>
        <c:lblAlgn val="ctr"/>
        <c:lblOffset val="100"/>
        <c:noMultiLvlLbl val="0"/>
      </c:catAx>
      <c:valAx>
        <c:axId val="18520963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18521034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 (Recovered).xlsx]Sheet1!PivotTable9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bg1"/>
                </a:solidFill>
              </a:rPr>
              <a:t>Total Business Travel for Department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Sheet1!$C$8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Sheet1!$B$9:$B$12</c:f>
              <c:strCache>
                <c:ptCount val="3"/>
                <c:pt idx="0">
                  <c:v>Human Resources</c:v>
                </c:pt>
                <c:pt idx="1">
                  <c:v>Research &amp; Development</c:v>
                </c:pt>
                <c:pt idx="2">
                  <c:v>Sales</c:v>
                </c:pt>
              </c:strCache>
            </c:strRef>
          </c:cat>
          <c:val>
            <c:numRef>
              <c:f>Sheet1!$C$9:$C$12</c:f>
              <c:numCache>
                <c:formatCode>0.00%</c:formatCode>
                <c:ptCount val="3"/>
                <c:pt idx="0">
                  <c:v>6.3291139240506333E-2</c:v>
                </c:pt>
                <c:pt idx="1">
                  <c:v>0.65822784810126578</c:v>
                </c:pt>
                <c:pt idx="2">
                  <c:v>0.27848101265822783</c:v>
                </c:pt>
              </c:numCache>
            </c:numRef>
          </c:val>
          <c:extLst>
            <c:ext xmlns:c16="http://schemas.microsoft.com/office/drawing/2014/chart" uri="{C3380CC4-5D6E-409C-BE32-E72D297353CC}">
              <c16:uniqueId val="{00000000-F645-4F97-B9B2-B6918FBB7E53}"/>
            </c:ext>
          </c:extLst>
        </c:ser>
        <c:dLbls>
          <c:dLblPos val="outEnd"/>
          <c:showLegendKey val="0"/>
          <c:showVal val="1"/>
          <c:showCatName val="0"/>
          <c:showSerName val="0"/>
          <c:showPercent val="0"/>
          <c:showBubbleSize val="0"/>
        </c:dLbls>
        <c:gapWidth val="182"/>
        <c:axId val="1852138800"/>
        <c:axId val="1852100112"/>
      </c:barChart>
      <c:catAx>
        <c:axId val="185213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2100112"/>
        <c:crosses val="autoZero"/>
        <c:auto val="1"/>
        <c:lblAlgn val="ctr"/>
        <c:lblOffset val="100"/>
        <c:noMultiLvlLbl val="0"/>
      </c:catAx>
      <c:valAx>
        <c:axId val="1852100112"/>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2138800"/>
        <c:crosses val="autoZero"/>
        <c:crossBetween val="between"/>
      </c:valAx>
      <c:spPr>
        <a:noFill/>
        <a:ln>
          <a:noFill/>
        </a:ln>
        <a:effectLst>
          <a:outerShdw blurRad="63500" sx="102000" sy="102000" algn="ctr" rotWithShape="0">
            <a:prstClr val="black">
              <a:alpha val="40000"/>
            </a:prstClr>
          </a:outerShdw>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44450</xdr:rowOff>
    </xdr:from>
    <xdr:to>
      <xdr:col>25</xdr:col>
      <xdr:colOff>249020</xdr:colOff>
      <xdr:row>47</xdr:row>
      <xdr:rowOff>129886</xdr:rowOff>
    </xdr:to>
    <xdr:sp macro="" textlink="">
      <xdr:nvSpPr>
        <xdr:cNvPr id="2" name="Rectangle 1"/>
        <xdr:cNvSpPr/>
      </xdr:nvSpPr>
      <xdr:spPr>
        <a:xfrm>
          <a:off x="31750" y="44450"/>
          <a:ext cx="15370679" cy="8903277"/>
        </a:xfrm>
        <a:prstGeom prst="rect">
          <a:avLst/>
        </a:prstGeom>
        <a:solidFill>
          <a:schemeClr val="accent4">
            <a:lumMod val="20000"/>
            <a:lumOff val="80000"/>
          </a:schemeClr>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286373</xdr:colOff>
      <xdr:row>1</xdr:row>
      <xdr:rowOff>74706</xdr:rowOff>
    </xdr:from>
    <xdr:to>
      <xdr:col>25</xdr:col>
      <xdr:colOff>174315</xdr:colOff>
      <xdr:row>8</xdr:row>
      <xdr:rowOff>124509</xdr:rowOff>
    </xdr:to>
    <xdr:sp macro="" textlink="">
      <xdr:nvSpPr>
        <xdr:cNvPr id="19" name="Rounded Rectangle 18"/>
        <xdr:cNvSpPr/>
      </xdr:nvSpPr>
      <xdr:spPr>
        <a:xfrm>
          <a:off x="13098432" y="261471"/>
          <a:ext cx="2328334" cy="1357156"/>
        </a:xfrm>
        <a:prstGeom prst="roundRect">
          <a:avLst/>
        </a:prstGeom>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286373</xdr:colOff>
      <xdr:row>10</xdr:row>
      <xdr:rowOff>12452</xdr:rowOff>
    </xdr:from>
    <xdr:to>
      <xdr:col>25</xdr:col>
      <xdr:colOff>174315</xdr:colOff>
      <xdr:row>17</xdr:row>
      <xdr:rowOff>62255</xdr:rowOff>
    </xdr:to>
    <xdr:sp macro="" textlink="">
      <xdr:nvSpPr>
        <xdr:cNvPr id="20" name="Rounded Rectangle 19"/>
        <xdr:cNvSpPr/>
      </xdr:nvSpPr>
      <xdr:spPr>
        <a:xfrm>
          <a:off x="13098432" y="1880099"/>
          <a:ext cx="2328334" cy="1357156"/>
        </a:xfrm>
        <a:prstGeom prst="roundRect">
          <a:avLst/>
        </a:prstGeom>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236569</xdr:colOff>
      <xdr:row>1</xdr:row>
      <xdr:rowOff>74706</xdr:rowOff>
    </xdr:from>
    <xdr:to>
      <xdr:col>21</xdr:col>
      <xdr:colOff>124511</xdr:colOff>
      <xdr:row>8</xdr:row>
      <xdr:rowOff>124509</xdr:rowOff>
    </xdr:to>
    <xdr:sp macro="" textlink="">
      <xdr:nvSpPr>
        <xdr:cNvPr id="21" name="Rounded Rectangle 20"/>
        <xdr:cNvSpPr/>
      </xdr:nvSpPr>
      <xdr:spPr>
        <a:xfrm>
          <a:off x="10608236" y="261471"/>
          <a:ext cx="2328334" cy="1357156"/>
        </a:xfrm>
        <a:prstGeom prst="roundRect">
          <a:avLst/>
        </a:prstGeom>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249020</xdr:colOff>
      <xdr:row>10</xdr:row>
      <xdr:rowOff>12452</xdr:rowOff>
    </xdr:from>
    <xdr:to>
      <xdr:col>21</xdr:col>
      <xdr:colOff>136962</xdr:colOff>
      <xdr:row>17</xdr:row>
      <xdr:rowOff>62255</xdr:rowOff>
    </xdr:to>
    <xdr:sp macro="" textlink="">
      <xdr:nvSpPr>
        <xdr:cNvPr id="22" name="Rounded Rectangle 21"/>
        <xdr:cNvSpPr/>
      </xdr:nvSpPr>
      <xdr:spPr>
        <a:xfrm>
          <a:off x="10636662" y="1809622"/>
          <a:ext cx="2332092" cy="1307822"/>
        </a:xfrm>
        <a:prstGeom prst="roundRect">
          <a:avLst/>
        </a:prstGeom>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286373</xdr:colOff>
      <xdr:row>18</xdr:row>
      <xdr:rowOff>74706</xdr:rowOff>
    </xdr:from>
    <xdr:to>
      <xdr:col>25</xdr:col>
      <xdr:colOff>174315</xdr:colOff>
      <xdr:row>25</xdr:row>
      <xdr:rowOff>124509</xdr:rowOff>
    </xdr:to>
    <xdr:sp macro="" textlink="">
      <xdr:nvSpPr>
        <xdr:cNvPr id="23" name="Rounded Rectangle 22"/>
        <xdr:cNvSpPr/>
      </xdr:nvSpPr>
      <xdr:spPr>
        <a:xfrm>
          <a:off x="13098432" y="3436471"/>
          <a:ext cx="2328334" cy="1357156"/>
        </a:xfrm>
        <a:prstGeom prst="roundRect">
          <a:avLst/>
        </a:prstGeom>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249020</xdr:colOff>
      <xdr:row>18</xdr:row>
      <xdr:rowOff>74706</xdr:rowOff>
    </xdr:from>
    <xdr:to>
      <xdr:col>21</xdr:col>
      <xdr:colOff>136962</xdr:colOff>
      <xdr:row>25</xdr:row>
      <xdr:rowOff>124509</xdr:rowOff>
    </xdr:to>
    <xdr:sp macro="" textlink="">
      <xdr:nvSpPr>
        <xdr:cNvPr id="24" name="Rounded Rectangle 23"/>
        <xdr:cNvSpPr/>
      </xdr:nvSpPr>
      <xdr:spPr>
        <a:xfrm>
          <a:off x="10553338" y="3451751"/>
          <a:ext cx="2312488" cy="1363099"/>
        </a:xfrm>
        <a:prstGeom prst="roundRect">
          <a:avLst/>
        </a:prstGeom>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317502</xdr:colOff>
      <xdr:row>2</xdr:row>
      <xdr:rowOff>1</xdr:rowOff>
    </xdr:from>
    <xdr:to>
      <xdr:col>21</xdr:col>
      <xdr:colOff>72160</xdr:colOff>
      <xdr:row>4</xdr:row>
      <xdr:rowOff>144319</xdr:rowOff>
    </xdr:to>
    <xdr:sp macro="" textlink="">
      <xdr:nvSpPr>
        <xdr:cNvPr id="25" name="TextBox 24"/>
        <xdr:cNvSpPr txBox="1"/>
      </xdr:nvSpPr>
      <xdr:spPr>
        <a:xfrm>
          <a:off x="10621820" y="375228"/>
          <a:ext cx="2179204"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cap="none" spc="0">
              <a:ln w="0"/>
              <a:solidFill>
                <a:schemeClr val="tx1"/>
              </a:solidFill>
              <a:effectLst>
                <a:outerShdw blurRad="38100" dist="19050" dir="2700000" algn="tl" rotWithShape="0">
                  <a:schemeClr val="dk1">
                    <a:alpha val="40000"/>
                  </a:schemeClr>
                </a:outerShdw>
              </a:effectLst>
            </a:rPr>
            <a:t>Avg Monthly Income</a:t>
          </a:r>
        </a:p>
      </xdr:txBody>
    </xdr:sp>
    <xdr:clientData/>
  </xdr:twoCellAnchor>
  <xdr:twoCellAnchor>
    <xdr:from>
      <xdr:col>22</xdr:col>
      <xdr:colOff>129886</xdr:colOff>
      <xdr:row>2</xdr:row>
      <xdr:rowOff>86592</xdr:rowOff>
    </xdr:from>
    <xdr:to>
      <xdr:col>24</xdr:col>
      <xdr:colOff>519544</xdr:colOff>
      <xdr:row>4</xdr:row>
      <xdr:rowOff>101023</xdr:rowOff>
    </xdr:to>
    <xdr:sp macro="" textlink="">
      <xdr:nvSpPr>
        <xdr:cNvPr id="26" name="TextBox 25"/>
        <xdr:cNvSpPr txBox="1"/>
      </xdr:nvSpPr>
      <xdr:spPr>
        <a:xfrm>
          <a:off x="13464886" y="461819"/>
          <a:ext cx="1601931"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18</xdr:col>
      <xdr:colOff>43294</xdr:colOff>
      <xdr:row>11</xdr:row>
      <xdr:rowOff>28864</xdr:rowOff>
    </xdr:from>
    <xdr:to>
      <xdr:col>20</xdr:col>
      <xdr:colOff>432953</xdr:colOff>
      <xdr:row>13</xdr:row>
      <xdr:rowOff>43296</xdr:rowOff>
    </xdr:to>
    <xdr:sp macro="" textlink="">
      <xdr:nvSpPr>
        <xdr:cNvPr id="27" name="TextBox 26"/>
        <xdr:cNvSpPr txBox="1"/>
      </xdr:nvSpPr>
      <xdr:spPr>
        <a:xfrm>
          <a:off x="10953749" y="2092614"/>
          <a:ext cx="1601931"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18</xdr:col>
      <xdr:colOff>43293</xdr:colOff>
      <xdr:row>19</xdr:row>
      <xdr:rowOff>72160</xdr:rowOff>
    </xdr:from>
    <xdr:to>
      <xdr:col>20</xdr:col>
      <xdr:colOff>432952</xdr:colOff>
      <xdr:row>21</xdr:row>
      <xdr:rowOff>86592</xdr:rowOff>
    </xdr:to>
    <xdr:sp macro="" textlink="">
      <xdr:nvSpPr>
        <xdr:cNvPr id="28" name="TextBox 27"/>
        <xdr:cNvSpPr txBox="1"/>
      </xdr:nvSpPr>
      <xdr:spPr>
        <a:xfrm>
          <a:off x="10953748" y="3636819"/>
          <a:ext cx="1601931"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21</xdr:col>
      <xdr:colOff>346365</xdr:colOff>
      <xdr:row>1</xdr:row>
      <xdr:rowOff>173182</xdr:rowOff>
    </xdr:from>
    <xdr:to>
      <xdr:col>25</xdr:col>
      <xdr:colOff>101024</xdr:colOff>
      <xdr:row>4</xdr:row>
      <xdr:rowOff>129887</xdr:rowOff>
    </xdr:to>
    <xdr:sp macro="" textlink="">
      <xdr:nvSpPr>
        <xdr:cNvPr id="31" name="TextBox 30"/>
        <xdr:cNvSpPr txBox="1"/>
      </xdr:nvSpPr>
      <xdr:spPr>
        <a:xfrm>
          <a:off x="13075229" y="360796"/>
          <a:ext cx="2179204"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cap="none" spc="0">
              <a:ln w="0"/>
              <a:solidFill>
                <a:schemeClr val="tx1"/>
              </a:solidFill>
              <a:effectLst>
                <a:outerShdw blurRad="38100" dist="19050" dir="2700000" algn="tl" rotWithShape="0">
                  <a:schemeClr val="dk1">
                    <a:alpha val="40000"/>
                  </a:schemeClr>
                </a:outerShdw>
              </a:effectLst>
            </a:rPr>
            <a:t>Attration Rate</a:t>
          </a:r>
        </a:p>
      </xdr:txBody>
    </xdr:sp>
    <xdr:clientData/>
  </xdr:twoCellAnchor>
  <xdr:twoCellAnchor>
    <xdr:from>
      <xdr:col>17</xdr:col>
      <xdr:colOff>331934</xdr:colOff>
      <xdr:row>10</xdr:row>
      <xdr:rowOff>101024</xdr:rowOff>
    </xdr:from>
    <xdr:to>
      <xdr:col>21</xdr:col>
      <xdr:colOff>86592</xdr:colOff>
      <xdr:row>13</xdr:row>
      <xdr:rowOff>57729</xdr:rowOff>
    </xdr:to>
    <xdr:sp macro="" textlink="">
      <xdr:nvSpPr>
        <xdr:cNvPr id="36" name="TextBox 35"/>
        <xdr:cNvSpPr txBox="1"/>
      </xdr:nvSpPr>
      <xdr:spPr>
        <a:xfrm>
          <a:off x="10636252" y="1977160"/>
          <a:ext cx="2179204"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cap="none" spc="0">
              <a:ln w="0"/>
              <a:solidFill>
                <a:schemeClr val="tx1"/>
              </a:solidFill>
              <a:effectLst>
                <a:outerShdw blurRad="38100" dist="19050" dir="2700000" algn="tl" rotWithShape="0">
                  <a:schemeClr val="dk1">
                    <a:alpha val="40000"/>
                  </a:schemeClr>
                </a:outerShdw>
              </a:effectLst>
            </a:rPr>
            <a:t>Total Working Years</a:t>
          </a:r>
        </a:p>
      </xdr:txBody>
    </xdr:sp>
    <xdr:clientData/>
  </xdr:twoCellAnchor>
  <xdr:twoCellAnchor>
    <xdr:from>
      <xdr:col>21</xdr:col>
      <xdr:colOff>230909</xdr:colOff>
      <xdr:row>10</xdr:row>
      <xdr:rowOff>57728</xdr:rowOff>
    </xdr:from>
    <xdr:to>
      <xdr:col>25</xdr:col>
      <xdr:colOff>331932</xdr:colOff>
      <xdr:row>13</xdr:row>
      <xdr:rowOff>86591</xdr:rowOff>
    </xdr:to>
    <xdr:sp macro="" textlink="">
      <xdr:nvSpPr>
        <xdr:cNvPr id="37" name="TextBox 36"/>
        <xdr:cNvSpPr txBox="1"/>
      </xdr:nvSpPr>
      <xdr:spPr>
        <a:xfrm>
          <a:off x="12959773" y="1933864"/>
          <a:ext cx="2525568" cy="591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cap="none" spc="0">
              <a:ln w="0"/>
              <a:solidFill>
                <a:schemeClr val="tx1"/>
              </a:solidFill>
              <a:effectLst>
                <a:outerShdw blurRad="38100" dist="19050" dir="2700000" algn="tl" rotWithShape="0">
                  <a:schemeClr val="dk1">
                    <a:alpha val="40000"/>
                  </a:schemeClr>
                </a:outerShdw>
              </a:effectLst>
            </a:rPr>
            <a:t>Average Job</a:t>
          </a:r>
          <a:r>
            <a:rPr lang="en-IN" sz="1800" b="0" cap="none" spc="0" baseline="0">
              <a:ln w="0"/>
              <a:solidFill>
                <a:schemeClr val="tx1"/>
              </a:solidFill>
              <a:effectLst>
                <a:outerShdw blurRad="38100" dist="19050" dir="2700000" algn="tl" rotWithShape="0">
                  <a:schemeClr val="dk1">
                    <a:alpha val="40000"/>
                  </a:schemeClr>
                </a:outerShdw>
              </a:effectLst>
            </a:rPr>
            <a:t> Satisfaction</a:t>
          </a:r>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21</xdr:col>
      <xdr:colOff>360797</xdr:colOff>
      <xdr:row>18</xdr:row>
      <xdr:rowOff>158751</xdr:rowOff>
    </xdr:from>
    <xdr:to>
      <xdr:col>25</xdr:col>
      <xdr:colOff>115456</xdr:colOff>
      <xdr:row>21</xdr:row>
      <xdr:rowOff>115456</xdr:rowOff>
    </xdr:to>
    <xdr:sp macro="" textlink="">
      <xdr:nvSpPr>
        <xdr:cNvPr id="38" name="TextBox 37"/>
        <xdr:cNvSpPr txBox="1"/>
      </xdr:nvSpPr>
      <xdr:spPr>
        <a:xfrm>
          <a:off x="13089661" y="3535796"/>
          <a:ext cx="2179204"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cap="none" spc="0">
              <a:ln w="0"/>
              <a:solidFill>
                <a:schemeClr val="tx1"/>
              </a:solidFill>
              <a:effectLst>
                <a:outerShdw blurRad="38100" dist="19050" dir="2700000" algn="tl" rotWithShape="0">
                  <a:schemeClr val="dk1">
                    <a:alpha val="40000"/>
                  </a:schemeClr>
                </a:outerShdw>
              </a:effectLst>
            </a:rPr>
            <a:t>Total No</a:t>
          </a:r>
          <a:r>
            <a:rPr lang="en-IN" sz="1800" b="0" cap="none" spc="0" baseline="0">
              <a:ln w="0"/>
              <a:solidFill>
                <a:schemeClr val="tx1"/>
              </a:solidFill>
              <a:effectLst>
                <a:outerShdw blurRad="38100" dist="19050" dir="2700000" algn="tl" rotWithShape="0">
                  <a:schemeClr val="dk1">
                    <a:alpha val="40000"/>
                  </a:schemeClr>
                </a:outerShdw>
              </a:effectLst>
            </a:rPr>
            <a:t> Employees</a:t>
          </a:r>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17</xdr:col>
      <xdr:colOff>418525</xdr:colOff>
      <xdr:row>18</xdr:row>
      <xdr:rowOff>144319</xdr:rowOff>
    </xdr:from>
    <xdr:to>
      <xdr:col>21</xdr:col>
      <xdr:colOff>173183</xdr:colOff>
      <xdr:row>21</xdr:row>
      <xdr:rowOff>101024</xdr:rowOff>
    </xdr:to>
    <xdr:sp macro="" textlink="">
      <xdr:nvSpPr>
        <xdr:cNvPr id="39" name="TextBox 38"/>
        <xdr:cNvSpPr txBox="1"/>
      </xdr:nvSpPr>
      <xdr:spPr>
        <a:xfrm>
          <a:off x="10722843" y="3521364"/>
          <a:ext cx="2179204"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cap="none" spc="0">
              <a:ln w="0"/>
              <a:solidFill>
                <a:schemeClr val="tx1"/>
              </a:solidFill>
              <a:effectLst>
                <a:outerShdw blurRad="38100" dist="19050" dir="2700000" algn="tl" rotWithShape="0">
                  <a:schemeClr val="dk1">
                    <a:alpha val="40000"/>
                  </a:schemeClr>
                </a:outerShdw>
              </a:effectLst>
            </a:rPr>
            <a:t>Average Daily Rate</a:t>
          </a:r>
        </a:p>
      </xdr:txBody>
    </xdr:sp>
    <xdr:clientData/>
  </xdr:twoCellAnchor>
  <xdr:twoCellAnchor>
    <xdr:from>
      <xdr:col>18</xdr:col>
      <xdr:colOff>186267</xdr:colOff>
      <xdr:row>5</xdr:row>
      <xdr:rowOff>43295</xdr:rowOff>
    </xdr:from>
    <xdr:to>
      <xdr:col>21</xdr:col>
      <xdr:colOff>28863</xdr:colOff>
      <xdr:row>7</xdr:row>
      <xdr:rowOff>16933</xdr:rowOff>
    </xdr:to>
    <xdr:sp macro="" textlink="Sheet1!A5">
      <xdr:nvSpPr>
        <xdr:cNvPr id="41" name="TextBox 40"/>
        <xdr:cNvSpPr txBox="1"/>
      </xdr:nvSpPr>
      <xdr:spPr>
        <a:xfrm>
          <a:off x="11159067" y="974628"/>
          <a:ext cx="1671396" cy="346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ED3EB3-75A8-4F09-BA32-340BBF8B2EB3}" type="TxLink">
            <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 6,212</a:t>
          </a:fld>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22</xdr:col>
      <xdr:colOff>101600</xdr:colOff>
      <xdr:row>5</xdr:row>
      <xdr:rowOff>43296</xdr:rowOff>
    </xdr:from>
    <xdr:to>
      <xdr:col>25</xdr:col>
      <xdr:colOff>28864</xdr:colOff>
      <xdr:row>6</xdr:row>
      <xdr:rowOff>152401</xdr:rowOff>
    </xdr:to>
    <xdr:sp macro="" textlink="Sheet1!D28">
      <xdr:nvSpPr>
        <xdr:cNvPr id="42" name="TextBox 41"/>
        <xdr:cNvSpPr txBox="1"/>
      </xdr:nvSpPr>
      <xdr:spPr>
        <a:xfrm>
          <a:off x="13512800" y="974629"/>
          <a:ext cx="1756064" cy="295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92CB43-A65F-445B-A3CE-4D2FECF680DB}"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79</a:t>
          </a:fld>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22</xdr:col>
      <xdr:colOff>381000</xdr:colOff>
      <xdr:row>13</xdr:row>
      <xdr:rowOff>129886</xdr:rowOff>
    </xdr:from>
    <xdr:to>
      <xdr:col>24</xdr:col>
      <xdr:colOff>558800</xdr:colOff>
      <xdr:row>15</xdr:row>
      <xdr:rowOff>25400</xdr:rowOff>
    </xdr:to>
    <xdr:sp macro="" textlink="Sheet1!A14">
      <xdr:nvSpPr>
        <xdr:cNvPr id="43" name="TextBox 42"/>
        <xdr:cNvSpPr txBox="1"/>
      </xdr:nvSpPr>
      <xdr:spPr>
        <a:xfrm>
          <a:off x="13792200" y="2551353"/>
          <a:ext cx="1397000" cy="268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5A3B6F-3DBF-4E4A-B48E-78C7CE364371}" type="TxLink">
            <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2.00</a:t>
          </a:fld>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152399</xdr:colOff>
      <xdr:row>13</xdr:row>
      <xdr:rowOff>144318</xdr:rowOff>
    </xdr:from>
    <xdr:to>
      <xdr:col>21</xdr:col>
      <xdr:colOff>43294</xdr:colOff>
      <xdr:row>16</xdr:row>
      <xdr:rowOff>42333</xdr:rowOff>
    </xdr:to>
    <xdr:sp macro="" textlink="Sheet1!A11">
      <xdr:nvSpPr>
        <xdr:cNvPr id="44" name="TextBox 43"/>
        <xdr:cNvSpPr txBox="1"/>
      </xdr:nvSpPr>
      <xdr:spPr>
        <a:xfrm>
          <a:off x="11125199" y="2565785"/>
          <a:ext cx="1719695" cy="456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08910A-9336-41D3-8044-578CE87B8C25}" type="TxLink">
            <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918</a:t>
          </a:fld>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186267</xdr:colOff>
      <xdr:row>21</xdr:row>
      <xdr:rowOff>115454</xdr:rowOff>
    </xdr:from>
    <xdr:to>
      <xdr:col>21</xdr:col>
      <xdr:colOff>72159</xdr:colOff>
      <xdr:row>24</xdr:row>
      <xdr:rowOff>8467</xdr:rowOff>
    </xdr:to>
    <xdr:sp macro="" textlink="Sheet1!A8">
      <xdr:nvSpPr>
        <xdr:cNvPr id="45" name="TextBox 44"/>
        <xdr:cNvSpPr txBox="1"/>
      </xdr:nvSpPr>
      <xdr:spPr>
        <a:xfrm>
          <a:off x="11159067" y="4027054"/>
          <a:ext cx="1714692" cy="451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9D65CC-B7F0-4CE7-BC0D-EAA64F816C80}" type="TxLink">
            <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$763.11</a:t>
          </a:fld>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22</xdr:col>
      <xdr:colOff>347133</xdr:colOff>
      <xdr:row>21</xdr:row>
      <xdr:rowOff>129885</xdr:rowOff>
    </xdr:from>
    <xdr:to>
      <xdr:col>25</xdr:col>
      <xdr:colOff>0</xdr:colOff>
      <xdr:row>23</xdr:row>
      <xdr:rowOff>160867</xdr:rowOff>
    </xdr:to>
    <xdr:sp macro="" textlink="Sheet1!A2">
      <xdr:nvSpPr>
        <xdr:cNvPr id="46" name="TextBox 45"/>
        <xdr:cNvSpPr txBox="1"/>
      </xdr:nvSpPr>
      <xdr:spPr>
        <a:xfrm>
          <a:off x="13758333" y="4041485"/>
          <a:ext cx="1481667" cy="403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E95B74-64D3-4486-8486-EDF9BD6B172A}" type="TxLink">
            <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79</a:t>
          </a:fld>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215662</xdr:colOff>
      <xdr:row>1</xdr:row>
      <xdr:rowOff>23962</xdr:rowOff>
    </xdr:from>
    <xdr:to>
      <xdr:col>11</xdr:col>
      <xdr:colOff>46182</xdr:colOff>
      <xdr:row>6</xdr:row>
      <xdr:rowOff>69272</xdr:rowOff>
    </xdr:to>
    <xdr:sp macro="" textlink="">
      <xdr:nvSpPr>
        <xdr:cNvPr id="47" name="TextBox 46"/>
        <xdr:cNvSpPr txBox="1"/>
      </xdr:nvSpPr>
      <xdr:spPr>
        <a:xfrm>
          <a:off x="215662" y="208689"/>
          <a:ext cx="6561520" cy="968947"/>
        </a:xfrm>
        <a:prstGeom prst="rect">
          <a:avLst/>
        </a:prstGeom>
        <a:noFill/>
        <a:ln w="9525" cmpd="sng">
          <a:noFill/>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u="none" strike="noStrike">
              <a:solidFill>
                <a:schemeClr val="dk1"/>
              </a:solidFill>
              <a:effectLst/>
              <a:latin typeface="+mn-lt"/>
              <a:ea typeface="+mn-ea"/>
              <a:cs typeface="+mn-cs"/>
            </a:rPr>
            <a:t>HR Employee Attrition &amp; Performance Dashboard"</a:t>
          </a:r>
          <a:endParaRPr lang="en-IN"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11</xdr:col>
      <xdr:colOff>606844</xdr:colOff>
      <xdr:row>1</xdr:row>
      <xdr:rowOff>156038</xdr:rowOff>
    </xdr:from>
    <xdr:to>
      <xdr:col>17</xdr:col>
      <xdr:colOff>92643</xdr:colOff>
      <xdr:row>9</xdr:row>
      <xdr:rowOff>122303</xdr:rowOff>
    </xdr:to>
    <mc:AlternateContent xmlns:mc="http://schemas.openxmlformats.org/markup-compatibility/2006" xmlns:a14="http://schemas.microsoft.com/office/drawing/2010/main">
      <mc:Choice Requires="a14">
        <xdr:graphicFrame macro="">
          <xdr:nvGraphicFramePr>
            <xdr:cNvPr id="48"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7312444" y="346538"/>
              <a:ext cx="3143399" cy="14902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289890</xdr:colOff>
      <xdr:row>6</xdr:row>
      <xdr:rowOff>27607</xdr:rowOff>
    </xdr:from>
    <xdr:to>
      <xdr:col>9</xdr:col>
      <xdr:colOff>407051</xdr:colOff>
      <xdr:row>24</xdr:row>
      <xdr:rowOff>16281</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248227</xdr:colOff>
      <xdr:row>25</xdr:row>
      <xdr:rowOff>86591</xdr:rowOff>
    </xdr:from>
    <xdr:to>
      <xdr:col>9</xdr:col>
      <xdr:colOff>346364</xdr:colOff>
      <xdr:row>45</xdr:row>
      <xdr:rowOff>72159</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535781</xdr:colOff>
      <xdr:row>27</xdr:row>
      <xdr:rowOff>79375</xdr:rowOff>
    </xdr:from>
    <xdr:to>
      <xdr:col>25</xdr:col>
      <xdr:colOff>99218</xdr:colOff>
      <xdr:row>46</xdr:row>
      <xdr:rowOff>29369</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31749</xdr:colOff>
      <xdr:row>26</xdr:row>
      <xdr:rowOff>64293</xdr:rowOff>
    </xdr:from>
    <xdr:to>
      <xdr:col>16</xdr:col>
      <xdr:colOff>317500</xdr:colOff>
      <xdr:row>45</xdr:row>
      <xdr:rowOff>158750</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206062</xdr:colOff>
      <xdr:row>9</xdr:row>
      <xdr:rowOff>56900</xdr:rowOff>
    </xdr:from>
    <xdr:to>
      <xdr:col>16</xdr:col>
      <xdr:colOff>402651</xdr:colOff>
      <xdr:row>16</xdr:row>
      <xdr:rowOff>153547</xdr:rowOff>
    </xdr:to>
    <mc:AlternateContent xmlns:mc="http://schemas.openxmlformats.org/markup-compatibility/2006" xmlns:a14="http://schemas.microsoft.com/office/drawing/2010/main">
      <mc:Choice Requires="a14">
        <xdr:graphicFrame macro="">
          <xdr:nvGraphicFramePr>
            <xdr:cNvPr id="54" name="JobSatisfaction"/>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mlns="">
        <xdr:sp macro="" textlink="">
          <xdr:nvSpPr>
            <xdr:cNvPr id="0" name=""/>
            <xdr:cNvSpPr>
              <a:spLocks noTextEdit="1"/>
            </xdr:cNvSpPr>
          </xdr:nvSpPr>
          <xdr:spPr>
            <a:xfrm>
              <a:off x="6302062" y="1771400"/>
              <a:ext cx="3854189" cy="1430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168213</xdr:colOff>
      <xdr:row>17</xdr:row>
      <xdr:rowOff>81306</xdr:rowOff>
    </xdr:from>
    <xdr:to>
      <xdr:col>16</xdr:col>
      <xdr:colOff>508800</xdr:colOff>
      <xdr:row>25</xdr:row>
      <xdr:rowOff>36856</xdr:rowOff>
    </xdr:to>
    <mc:AlternateContent xmlns:mc="http://schemas.openxmlformats.org/markup-compatibility/2006" xmlns:a14="http://schemas.microsoft.com/office/drawing/2010/main">
      <mc:Choice Requires="a14">
        <xdr:graphicFrame macro="">
          <xdr:nvGraphicFramePr>
            <xdr:cNvPr id="56" name="RelationshipSatisfaction"/>
            <xdr:cNvGraphicFramePr/>
          </xdr:nvGraphicFramePr>
          <xdr:xfrm>
            <a:off x="0" y="0"/>
            <a:ext cx="0" cy="0"/>
          </xdr:xfrm>
          <a:graphic>
            <a:graphicData uri="http://schemas.microsoft.com/office/drawing/2010/slicer">
              <sle:slicer xmlns:sle="http://schemas.microsoft.com/office/drawing/2010/slicer" name="RelationshipSatisfaction"/>
            </a:graphicData>
          </a:graphic>
        </xdr:graphicFrame>
      </mc:Choice>
      <mc:Fallback xmlns="">
        <xdr:sp macro="" textlink="">
          <xdr:nvSpPr>
            <xdr:cNvPr id="0" name=""/>
            <xdr:cNvSpPr>
              <a:spLocks noTextEdit="1"/>
            </xdr:cNvSpPr>
          </xdr:nvSpPr>
          <xdr:spPr>
            <a:xfrm>
              <a:off x="6264213" y="3319806"/>
              <a:ext cx="3998187" cy="1479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Kiran Barge" refreshedDate="46202.912693402781" backgroundQuery="1" createdVersion="6" refreshedVersion="6" minRefreshableVersion="3" recordCount="0" supportSubquery="1" supportAdvancedDrill="1">
  <cacheSource type="external" connectionId="2"/>
  <cacheFields count="4">
    <cacheField name="[Measures].[Count of EmployeeNumber]" caption="Count of EmployeeNumber" numFmtId="0" hierarchy="36" level="32767"/>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 name="[WA_Fn-UseC_-HR-Employee-Attrition].[Attrition].[Attrition]" caption="Attrition" numFmtId="0" hierarchy="1" level="1">
      <sharedItems containsSemiMixedTypes="0" containsNonDate="0" containsString="0"/>
    </cacheField>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3"/>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2"/>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1"/>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Kiran Barge" refreshedDate="46202.912693981481" backgroundQuery="1" createdVersion="6" refreshedVersion="6" minRefreshableVersion="3" recordCount="0" supportSubquery="1" supportAdvancedDrill="1">
  <cacheSource type="external" connectionId="2"/>
  <cacheFields count="5">
    <cacheField name="[WA_Fn-UseC_-HR-Employee-Attrition].[EducationField].[EducationField]" caption="EducationField" numFmtId="0" hierarchy="7" level="1">
      <sharedItems count="6">
        <s v="Human Resources"/>
        <s v="Life Sciences"/>
        <s v="Marketing"/>
        <s v="Medical"/>
        <s v="Other"/>
        <s v="Technical Degree"/>
      </sharedItems>
    </cacheField>
    <cacheField name="[Measures].[Sum of MonthlyIncome]" caption="Sum of MonthlyIncome" numFmtId="0" hierarchy="37" level="32767"/>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 name="[WA_Fn-UseC_-HR-Employee-Attrition].[Attrition].[Attrition]" caption="Attrition" numFmtId="0" hierarchy="1" level="1">
      <sharedItems containsSemiMixedTypes="0" containsNonDate="0" containsString="0"/>
    </cacheField>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4"/>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2" memberValueDatatype="130" unbalanced="0">
      <fieldsUsage count="2">
        <fieldUsage x="-1"/>
        <fieldUsage x="0"/>
      </fieldsUsage>
    </cacheHierarchy>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3"/>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2"/>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Kiran Barge" refreshedDate="46202.912694328705" backgroundQuery="1" createdVersion="6" refreshedVersion="6" minRefreshableVersion="3" recordCount="0" supportSubquery="1" supportAdvancedDrill="1">
  <cacheSource type="external" connectionId="2"/>
  <cacheFields count="5">
    <cacheField name="[WA_Fn-UseC_-HR-Employee-Attrition].[JobRole].[JobRole]" caption="JobRole" numFmtId="0" hierarchy="14" level="1">
      <sharedItems count="9">
        <s v="Healthcare Representative"/>
        <s v="Human Resources"/>
        <s v="Laboratory Technician"/>
        <s v="Manager"/>
        <s v="Manufacturing Director"/>
        <s v="Research Director"/>
        <s v="Research Scientist"/>
        <s v="Sales Executive"/>
        <s v="Sales Representative"/>
      </sharedItems>
    </cacheField>
    <cacheField name="[Measures].[Sum of MonthlyRate]" caption="Sum of MonthlyRate" numFmtId="0" hierarchy="57" level="32767"/>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 name="[WA_Fn-UseC_-HR-Employee-Attrition].[Attrition].[Attrition]" caption="Attrition" numFmtId="0" hierarchy="1" level="1">
      <sharedItems containsSemiMixedTypes="0" containsNonDate="0" containsString="0"/>
    </cacheField>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4"/>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2" memberValueDatatype="130" unbalanced="0">
      <fieldsUsage count="2">
        <fieldUsage x="-1"/>
        <fieldUsage x="0"/>
      </fieldsUsage>
    </cacheHierarchy>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3"/>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2"/>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Kiran Barge" refreshedDate="46202.912694675928" backgroundQuery="1" createdVersion="6" refreshedVersion="6" minRefreshableVersion="3" recordCount="0" supportSubquery="1" supportAdvancedDrill="1">
  <cacheSource type="external" connectionId="2"/>
  <cacheFields count="5">
    <cacheField name="[WA_Fn-UseC_-HR-Employee-Attrition].[Department].[Department]" caption="Department" numFmtId="0" hierarchy="4" level="1">
      <sharedItems count="3">
        <s v="Human Resources"/>
        <s v="Research &amp; Development"/>
        <s v="Sales"/>
      </sharedItems>
    </cacheField>
    <cacheField name="[Measures].[Sum of EnvironmentSatisfaction]" caption="Sum of EnvironmentSatisfaction" numFmtId="0" hierarchy="59" level="32767"/>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 name="[WA_Fn-UseC_-HR-Employee-Attrition].[Attrition].[Attrition]" caption="Attrition" numFmtId="0" hierarchy="1" level="1">
      <sharedItems containsSemiMixedTypes="0" containsNonDate="0" containsString="0"/>
    </cacheField>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4"/>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0"/>
      </fieldsUsage>
    </cacheHierarchy>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3"/>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2"/>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Kiran Barge" refreshedDate="46202.912695023151" backgroundQuery="1" createdVersion="6" refreshedVersion="6" minRefreshableVersion="3" recordCount="0" supportSubquery="1" supportAdvancedDrill="1">
  <cacheSource type="external" connectionId="2"/>
  <cacheFields count="6">
    <cacheField name="[WA_Fn-UseC_-HR-Employee-Attrition].[MaritalStatus].[MaritalStatus]" caption="MaritalStatus" numFmtId="0" hierarchy="16" level="1">
      <sharedItems count="3">
        <s v="Divorced"/>
        <s v="Married"/>
        <s v="Single"/>
      </sharedItems>
    </cacheField>
    <cacheField name="[Measures].[Sum of PerformanceRating]" caption="Sum of PerformanceRating" numFmtId="0" hierarchy="46" level="32767"/>
    <cacheField name="[WA_Fn-UseC_-HR-Employee-Attrition].[OverTime].[OverTime]" caption="OverTime" numFmtId="0" hierarchy="20" level="1">
      <sharedItems count="2">
        <s v="No"/>
        <s v="Yes"/>
      </sharedItems>
    </cacheField>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 name="[WA_Fn-UseC_-HR-Employee-Attrition].[Attrition].[Attrition]" caption="Attrition" numFmtId="0" hierarchy="1" level="1">
      <sharedItems containsSemiMixedTypes="0" containsNonDate="0" containsString="0"/>
    </cacheField>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5"/>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4"/>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2" memberValueDatatype="130" unbalanced="0">
      <fieldsUsage count="2">
        <fieldUsage x="-1"/>
        <fieldUsage x="0"/>
      </fieldsUsage>
    </cacheHierarchy>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2" memberValueDatatype="130" unbalanced="0">
      <fieldsUsage count="2">
        <fieldUsage x="-1"/>
        <fieldUsage x="2"/>
      </fieldsUsage>
    </cacheHierarchy>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3"/>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Kiran Barge" refreshedDate="46202.912695370367" backgroundQuery="1" createdVersion="6" refreshedVersion="6" minRefreshableVersion="3" recordCount="0" supportSubquery="1" supportAdvancedDrill="1">
  <cacheSource type="external" connectionId="2"/>
  <cacheFields count="4">
    <cacheField name="[WA_Fn-UseC_-HR-Employee-Attrition].[Attrition].[Attrition]" caption="Attrition" numFmtId="0" hierarchy="1" level="1">
      <sharedItems count="1">
        <s v="No"/>
      </sharedItems>
    </cacheField>
    <cacheField name="[Measures].[Count of Department]" caption="Count of Department" numFmtId="0" hierarchy="54" level="32767"/>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0"/>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3"/>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2"/>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Kiran Barge" refreshedDate="46202.912695486113" backgroundQuery="1" createdVersion="6" refreshedVersion="6" minRefreshableVersion="3" recordCount="0" supportSubquery="1" supportAdvancedDrill="1">
  <cacheSource type="external" connectionId="2"/>
  <cacheFields count="4">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 name="[WA_Fn-UseC_-HR-Employee-Attrition].[Attrition].[Attrition]" caption="Attrition" numFmtId="0" hierarchy="1" level="1">
      <sharedItems containsSemiMixedTypes="0" containsNonDate="0" containsString="0"/>
    </cacheField>
    <cacheField name="[Measures].[Average of MonthlyIncome]" caption="Average of MonthlyIncome" numFmtId="0" hierarchy="61" level="32767"/>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2"/>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1"/>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0"/>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oneField="1" hidden="1">
      <fieldsUsage count="1">
        <fieldUsage x="3"/>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Kiran Barge" refreshedDate="46202.91269571759" backgroundQuery="1" createdVersion="6" refreshedVersion="6" minRefreshableVersion="3" recordCount="0" supportSubquery="1" supportAdvancedDrill="1">
  <cacheSource type="external" connectionId="2"/>
  <cacheFields count="4">
    <cacheField name="[Measures].[Average of DailyRate]" caption="Average of DailyRate" numFmtId="0" hierarchy="41" level="32767"/>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 name="[WA_Fn-UseC_-HR-Employee-Attrition].[Attrition].[Attrition]" caption="Attrition" numFmtId="0" hierarchy="1" level="1">
      <sharedItems containsSemiMixedTypes="0" containsNonDate="0" containsString="0"/>
    </cacheField>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3"/>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2"/>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1"/>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Kiran Barge" refreshedDate="46202.912695833336" backgroundQuery="1" createdVersion="6" refreshedVersion="6" minRefreshableVersion="3" recordCount="0" supportSubquery="1" supportAdvancedDrill="1">
  <cacheSource type="external" connectionId="2"/>
  <cacheFields count="4">
    <cacheField name="[Measures].[Sum of TotalWorkingYears]" caption="Sum of TotalWorkingYears" numFmtId="0" hierarchy="38" level="32767"/>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 name="[WA_Fn-UseC_-HR-Employee-Attrition].[Attrition].[Attrition]" caption="Attrition" numFmtId="0" hierarchy="1" level="1">
      <sharedItems containsSemiMixedTypes="0" containsNonDate="0" containsString="0"/>
    </cacheField>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3"/>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2"/>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1"/>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Kiran Barge" refreshedDate="46202.912696180552" backgroundQuery="1" createdVersion="6" refreshedVersion="6" minRefreshableVersion="3" recordCount="0" supportSubquery="1" supportAdvancedDrill="1">
  <cacheSource type="external" connectionId="2"/>
  <cacheFields count="4">
    <cacheField name="[Measures].[Average of JobSatisfaction]" caption="Average of JobSatisfaction" numFmtId="0" hierarchy="45" level="32767"/>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 name="[WA_Fn-UseC_-HR-Employee-Attrition].[Attrition].[Attrition]" caption="Attrition" numFmtId="0" hierarchy="1" level="1">
      <sharedItems containsSemiMixedTypes="0" containsNonDate="0" containsString="0"/>
    </cacheField>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3"/>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2"/>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1"/>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Kiran Barge" refreshedDate="46202.912696296298" backgroundQuery="1" createdVersion="6" refreshedVersion="6" minRefreshableVersion="3" recordCount="0" supportSubquery="1" supportAdvancedDrill="1">
  <cacheSource type="external" connectionId="2"/>
  <cacheFields count="4">
    <cacheField name="[Measures].[Average of PerformanceRating]" caption="Average of PerformanceRating" numFmtId="0" hierarchy="47" level="32767"/>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 name="[WA_Fn-UseC_-HR-Employee-Attrition].[Attrition].[Attrition]" caption="Attrition" numFmtId="0" hierarchy="1" level="1">
      <sharedItems containsSemiMixedTypes="0" containsNonDate="0" containsString="0"/>
    </cacheField>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3"/>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2"/>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1"/>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Kiran Barge" refreshedDate="46202.912696412037" backgroundQuery="1" createdVersion="6" refreshedVersion="6" minRefreshableVersion="3" recordCount="0" supportSubquery="1" supportAdvancedDrill="1">
  <cacheSource type="external" connectionId="2"/>
  <cacheFields count="4">
    <cacheField name="[Measures].[Average of YearsAtCompany]" caption="Average of YearsAtCompany" numFmtId="0" hierarchy="51" level="32767"/>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 name="[WA_Fn-UseC_-HR-Employee-Attrition].[Attrition].[Attrition]" caption="Attrition" numFmtId="0" hierarchy="1" level="1">
      <sharedItems containsSemiMixedTypes="0" containsNonDate="0" containsString="0"/>
    </cacheField>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3"/>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2"/>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1"/>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Kiran Barge" refreshedDate="46202.912696990737" backgroundQuery="1" createdVersion="6" refreshedVersion="6" minRefreshableVersion="3" recordCount="0" supportSubquery="1" supportAdvancedDrill="1">
  <cacheSource type="external" connectionId="2"/>
  <cacheFields count="6">
    <cacheField name="[Measures].[Sum of DailyRate]" caption="Sum of DailyRate" numFmtId="0" hierarchy="40" level="32767"/>
    <cacheField name="[Measures].[Sum of DistanceFromHome]" caption="Sum of DistanceFromHome" numFmtId="0" hierarchy="42" level="32767"/>
    <cacheField name="[WA_Fn-UseC_-HR-Employee-Attrition].[Gender].[Gender]" caption="Gender" numFmtId="0" hierarchy="10" level="1">
      <sharedItems count="2">
        <s v="Female"/>
        <s v="Male"/>
      </sharedItems>
    </cacheField>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 name="[WA_Fn-UseC_-HR-Employee-Attrition].[Attrition].[Attrition]" caption="Attrition" numFmtId="0" hierarchy="1" level="1">
      <sharedItems containsSemiMixedTypes="0" containsNonDate="0" containsString="0"/>
    </cacheField>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5"/>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2"/>
      </fieldsUsage>
    </cacheHierarchy>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4"/>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3"/>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oneField="1" hidden="1">
      <fieldsUsage count="1">
        <fieldUsage x="0"/>
      </fieldsUsage>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Kiran Barge" refreshedDate="46202.912697222222" backgroundQuery="1" createdVersion="6" refreshedVersion="6" minRefreshableVersion="3" recordCount="0" supportSubquery="1" supportAdvancedDrill="1">
  <cacheSource type="external" connectionId="2"/>
  <cacheFields count="5">
    <cacheField name="[WA_Fn-UseC_-HR-Employee-Attrition].[Department].[Department]" caption="Department" numFmtId="0" hierarchy="4" level="1">
      <sharedItems count="3">
        <s v="Human Resources"/>
        <s v="Research &amp; Development"/>
        <s v="Sales"/>
      </sharedItems>
    </cacheField>
    <cacheField name="[Measures].[Count of BusinessTravel]" caption="Count of BusinessTravel" numFmtId="0" hierarchy="55" level="32767"/>
    <cacheField name="[WA_Fn-UseC_-HR-Employee-Attrition].[RelationshipSatisfaction].[RelationshipSatisfaction]" caption="RelationshipSatisfaction" numFmtId="0" hierarchy="23" level="1">
      <sharedItems containsSemiMixedTypes="0" containsNonDate="0" containsString="0"/>
    </cacheField>
    <cacheField name="[WA_Fn-UseC_-HR-Employee-Attrition].[JobSatisfaction].[JobSatisfaction]" caption="JobSatisfaction" numFmtId="0" hierarchy="15" level="1">
      <sharedItems containsSemiMixedTypes="0" containsNonDate="0" containsString="0"/>
    </cacheField>
    <cacheField name="[WA_Fn-UseC_-HR-Employee-Attrition].[Attrition].[Attrition]" caption="Attrition" numFmtId="0" hierarchy="1" level="1">
      <sharedItems containsSemiMixedTypes="0" containsNonDate="0" containsString="0"/>
    </cacheField>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4"/>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0"/>
      </fieldsUsage>
    </cacheHierarchy>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3"/>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2"/>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Kiran Barge" refreshedDate="46202.912697337961" backgroundQuery="1" createdVersion="6" refreshedVersion="6" minRefreshableVersion="3" recordCount="0" supportSubquery="1" supportAdvancedDrill="1">
  <cacheSource type="external" connectionId="2"/>
  <cacheFields count="4">
    <cacheField name="[WA_Fn-UseC_-HR-Employee-Attrition].[Attrition].[Attrition]" caption="Attrition" numFmtId="0" hierarchy="1" level="1">
      <sharedItems count="1">
        <s v="No"/>
      </sharedItems>
    </cacheField>
    <cacheField name="[WA_Fn-UseC_-HR-Employee-Attrition].[JobSatisfaction].[JobSatisfaction]" caption="JobSatisfaction" numFmtId="0" hierarchy="15" level="1">
      <sharedItems containsSemiMixedTypes="0" containsNonDate="0" containsString="0"/>
    </cacheField>
    <cacheField name="[WA_Fn-UseC_-HR-Employee-Attrition].[RelationshipSatisfaction].[RelationshipSatisfaction]" caption="RelationshipSatisfaction" numFmtId="0" hierarchy="23" level="1">
      <sharedItems containsSemiMixedTypes="0" containsNonDate="0" containsString="0"/>
    </cacheField>
    <cacheField name="[Measures].[Count of Attrition]" caption="Count of Attrition" numFmtId="0" hierarchy="60" level="32767"/>
  </cacheFields>
  <cacheHierarchies count="62">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0"/>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fieldsUsage count="2">
        <fieldUsage x="-1"/>
        <fieldUsage x="1"/>
      </fieldsUsage>
    </cacheHierarchy>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fieldsUsage count="2">
        <fieldUsage x="-1"/>
        <fieldUsage x="2"/>
      </fieldsUsage>
    </cacheHierarchy>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oneField="1" hidden="1">
      <fieldsUsage count="1">
        <fieldUsage x="3"/>
      </fieldsUsage>
      <extLst>
        <ext xmlns:x15="http://schemas.microsoft.com/office/spreadsheetml/2010/11/main" uri="{B97F6D7D-B522-45F9-BDA1-12C45D357490}">
          <x15:cacheHierarchy aggregatedColumn="1"/>
        </ext>
      </extLst>
    </cacheHierarchy>
    <cacheHierarchy uniqueName="[Measures].[Average of MonthlyIncome]" caption="Average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Kiran Barge" refreshedDate="46202.79515578704"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61">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0"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8"/>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6"/>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1"/>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2"/>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4"/>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2"/>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Kiran Barge" refreshedDate="46202.835565856483"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62">
    <cacheHierarchy uniqueName="[Measures]" caption="Measures" attribute="1" keyAttribute="1" defaultMemberUniqueName="[Measures].[__No measures defined]" dimensionUniqueName="[Measures]" displayFolder="" measures="1" count="1" memberValueDatatype="130" unbalanced="0"/>
    <cacheHierarchy uniqueName="[WA_Fn-UseC_-HR-Employee-Attrition].[Age]" caption="Age" attribute="1" defaultMemberUniqueName="[WA_Fn-UseC_-HR-Employee-Attrition].[Age].[All]" allUniqueName="[WA_Fn-UseC_-HR-Employee-Attrition].[Age].[All]" dimensionUniqueName="[WA_Fn-UseC_-HR-Employee-Attrition]" displayFolder="" count="2"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2"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2"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2"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2"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2"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2"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2"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2"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2"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2"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2"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2"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2"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2"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2"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2"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2"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2"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2"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2"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2"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2"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2"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2"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2"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2"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2"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WA_Fn-UseC_-HR-Employee-Attrition" count="0" hidden="1">
      <extLst>
        <ext xmlns:x15="http://schemas.microsoft.com/office/spreadsheetml/2010/11/main" uri="{B97F6D7D-B522-45F9-BDA1-12C45D357490}">
          <x15:cacheHierarchy aggregatedColumn="18"/>
        </ext>
      </extLst>
    </cacheHierarchy>
    <cacheHierarchy uniqueName="[Measures].[Sum of TotalWorkingYears]" caption="Sum of TotalWorkingYears" measure="1" displayFolder="" measureGroup="WA_Fn-UseC_-HR-Employee-Attrition"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WA_Fn-UseC_-HR-Employee-Attrition" count="0" hidden="1">
      <extLst>
        <ext xmlns:x15="http://schemas.microsoft.com/office/spreadsheetml/2010/11/main" uri="{B97F6D7D-B522-45F9-BDA1-12C45D357490}">
          <x15:cacheHierarchy aggregatedColumn="27"/>
        </ext>
      </extLst>
    </cacheHierarchy>
    <cacheHierarchy uniqueName="[Measures].[Sum of DailyRate]" caption="Sum of DailyRate"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Average of DailyRate]" caption="Average of DailyRate" measure="1" displayFolder="" measureGroup="WA_Fn-UseC_-HR-Employee-Attrition" count="0" hidden="1">
      <extLst>
        <ext xmlns:x15="http://schemas.microsoft.com/office/spreadsheetml/2010/11/main" uri="{B97F6D7D-B522-45F9-BDA1-12C45D357490}">
          <x15:cacheHierarchy aggregatedColumn="4"/>
        </ext>
      </extLst>
    </cacheHierarchy>
    <cacheHierarchy uniqueName="[Measures].[Sum of DistanceFromHome]" caption="Sum of DistanceFromHome" measure="1" displayFolder="" measureGroup="WA_Fn-UseC_-HR-Employee-Attrition" count="0" hidden="1">
      <extLst>
        <ext xmlns:x15="http://schemas.microsoft.com/office/spreadsheetml/2010/11/main" uri="{B97F6D7D-B522-45F9-BDA1-12C45D357490}">
          <x15:cacheHierarchy aggregatedColumn="6"/>
        </ext>
      </extLst>
    </cacheHierarchy>
    <cacheHierarchy uniqueName="[Measures].[Average of DistanceFromHome]" caption="Average of DistanceFromHome" measure="1" displayFolder="" measureGroup="WA_Fn-UseC_-HR-Employee-Attrition" count="0" hidden="1">
      <extLst>
        <ext xmlns:x15="http://schemas.microsoft.com/office/spreadsheetml/2010/11/main" uri="{B97F6D7D-B522-45F9-BDA1-12C45D357490}">
          <x15:cacheHierarchy aggregatedColumn="6"/>
        </ext>
      </extLst>
    </cacheHierarchy>
    <cacheHierarchy uniqueName="[Measures].[Sum of JobSatisfaction]" caption="Sum of JobSatisfaction" measure="1" displayFolder="" measureGroup="WA_Fn-UseC_-HR-Employee-Attrition"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WA_Fn-UseC_-HR-Employee-Attrition" count="0" hidden="1">
      <extLst>
        <ext xmlns:x15="http://schemas.microsoft.com/office/spreadsheetml/2010/11/main" uri="{B97F6D7D-B522-45F9-BDA1-12C45D357490}">
          <x15:cacheHierarchy aggregatedColumn="16"/>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UseC_-HR-Employee-Attrition" count="0" hidden="1">
      <extLst>
        <ext xmlns:x15="http://schemas.microsoft.com/office/spreadsheetml/2010/11/main" uri="{B97F6D7D-B522-45F9-BDA1-12C45D357490}">
          <x15:cacheHierarchy aggregatedColumn="23"/>
        </ext>
      </extLst>
    </cacheHierarchy>
    <cacheHierarchy uniqueName="[Measures].[Sum of PercentSalaryHike]" caption="Sum of PercentSalaryHike"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Average of PercentSalaryHike]" caption="Average of PercentSalaryHike" measure="1" displayFolder="" measureGroup="WA_Fn-UseC_-HR-Employee-Attrition"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WA_Fn-UseC_-HR-Employee-Attrition"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WA_Fn-UseC_-HR-Employee-Attrition"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WA_Fn-UseC_-HR-Employee-Attrition" count="0" hidden="1">
      <extLst>
        <ext xmlns:x15="http://schemas.microsoft.com/office/spreadsheetml/2010/11/main" uri="{B97F6D7D-B522-45F9-BDA1-12C45D357490}">
          <x15:cacheHierarchy aggregatedColumn="11"/>
        </ext>
      </extLst>
    </cacheHierarchy>
    <cacheHierarchy uniqueName="[Measures].[Count of Department]" caption="Count of Department" measure="1" displayFolder="" measureGroup="WA_Fn-UseC_-HR-Employee-Attrition" count="0" hidden="1">
      <extLst>
        <ext xmlns:x15="http://schemas.microsoft.com/office/spreadsheetml/2010/11/main" uri="{B97F6D7D-B522-45F9-BDA1-12C45D357490}">
          <x15:cacheHierarchy aggregatedColumn="5"/>
        </ext>
      </extLst>
    </cacheHierarchy>
    <cacheHierarchy uniqueName="[Measures].[Count of BusinessTravel]" caption="Count of BusinessTravel" measure="1" displayFolder="" measureGroup="WA_Fn-UseC_-HR-Employee-Attrition" count="0" hidden="1">
      <extLst>
        <ext xmlns:x15="http://schemas.microsoft.com/office/spreadsheetml/2010/11/main" uri="{B97F6D7D-B522-45F9-BDA1-12C45D357490}">
          <x15:cacheHierarchy aggregatedColumn="3"/>
        </ext>
      </extLst>
    </cacheHierarchy>
    <cacheHierarchy uniqueName="[Measures].[Count of JobRole]" caption="Count of JobRole" measure="1" displayFolder="" measureGroup="WA_Fn-UseC_-HR-Employee-Attrition" count="0" hidden="1">
      <extLst>
        <ext xmlns:x15="http://schemas.microsoft.com/office/spreadsheetml/2010/11/main" uri="{B97F6D7D-B522-45F9-BDA1-12C45D357490}">
          <x15:cacheHierarchy aggregatedColumn="15"/>
        </ext>
      </extLst>
    </cacheHierarchy>
    <cacheHierarchy uniqueName="[Measures].[Sum of MonthlyRate]" caption="Sum of MonthlyRate" measure="1" displayFolder="" measureGroup="WA_Fn-UseC_-HR-Employee-Attrition"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WA_Fn-UseC_-HR-Employee-Attrition" count="0" hidden="1">
      <extLst>
        <ext xmlns:x15="http://schemas.microsoft.com/office/spreadsheetml/2010/11/main" uri="{B97F6D7D-B522-45F9-BDA1-12C45D357490}">
          <x15:cacheHierarchy aggregatedColumn="13"/>
        </ext>
      </extLst>
    </cacheHierarchy>
    <cacheHierarchy uniqueName="[Measures].[Sum of EnvironmentSatisfaction]" caption="Sum of EnvironmentSatisfaction" measure="1" displayFolder="" measureGroup="WA_Fn-UseC_-HR-Employee-Attrition" count="0" hidden="1">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7" cacheId="11" applyNumberFormats="0" applyBorderFormats="0" applyFontFormats="0" applyPatternFormats="0" applyAlignmentFormats="0" applyWidthHeightFormats="1" dataCaption="Values" tag="dc104efa-0f79-461f-ae21-344202c3aa46" updatedVersion="6" minRefreshableVersion="3" useAutoFormatting="1" itemPrintTitles="1" createdVersion="6" indent="0" outline="1" outlineData="1" multipleFieldFilters="0">
  <location ref="A19:A20"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Average of YearsAtCompany" fld="0" subtotal="average" baseField="0" baseItem="0" numFmtId="2"/>
  </dataFields>
  <formats count="16">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s>
  <pivotHierarchies count="62">
    <pivotHierarchy dragToData="1"/>
    <pivotHierarchy multipleItemSelectionAllowed="1" dragToData="1">
      <members count="1" level="1">
        <member name="[WA_Fn-UseC_-HR-Employee-Attrition].[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ercentSalaryHike"/>
    <pivotHierarchy dragToData="1" caption="Average of PercentSalaryHike"/>
    <pivotHierarchy dragToData="1" caption="Sum of YearsAtCompany"/>
    <pivotHierarchy dragToData="1" caption="Average of YearsAtCompan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tag="dafeadaf-4802-4ce3-928b-c3d169dd9eb2" updatedVersion="6" minRefreshableVersion="3" useAutoFormatting="1" itemPrintTitles="1" createdVersion="6" indent="0" outline="1" outlineData="1" multipleFieldFilters="0">
  <location ref="A1:A2"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Count of EmployeeNumber" fld="0" subtotal="count" baseField="0" baseItem="0"/>
  </dataFields>
  <pivotHierarchies count="62">
    <pivotHierarchy dragToData="1"/>
    <pivotHierarchy multipleItemSelectionAllowed="1" dragToData="1">
      <members count="1" level="1">
        <member name="[WA_Fn-UseC_-HR-Employee-Attrition].[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3.xml><?xml version="1.0" encoding="utf-8"?>
<pivotTableDefinition xmlns="http://schemas.openxmlformats.org/spreadsheetml/2006/main" name="PivotTable9" cacheId="13" applyNumberFormats="0" applyBorderFormats="0" applyFontFormats="0" applyPatternFormats="0" applyAlignmentFormats="0" applyWidthHeightFormats="1" dataCaption="Values" tag="06ede22d-6758-4d1a-9aaa-caf90b2d2d5b" updatedVersion="6" minRefreshableVersion="3" useAutoFormatting="1" itemPrintTitles="1" createdVersion="6" indent="0" outline="1" outlineData="1" multipleFieldFilters="0" chartFormat="3">
  <location ref="B8:C12" firstHeaderRow="1" firstDataRow="1" firstDataCol="1"/>
  <pivotFields count="5">
    <pivotField axis="axisRow" allDrilled="1" showAll="0" dataSourceSort="1" defaultAttributeDrillState="1">
      <items count="4">
        <item x="0"/>
        <item x="1"/>
        <item x="2"/>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4">
    <i>
      <x/>
    </i>
    <i>
      <x v="1"/>
    </i>
    <i>
      <x v="2"/>
    </i>
    <i t="grand">
      <x/>
    </i>
  </rowItems>
  <colItems count="1">
    <i/>
  </colItems>
  <dataFields count="1">
    <dataField name="Count of BusinessTravel" fld="1" subtotal="count" showDataAs="percentOfCol" baseField="0" baseItem="0" numFmtId="10"/>
  </dataFields>
  <chartFormats count="1">
    <chartFormat chart="2" format="5" series="1">
      <pivotArea type="data" outline="0" fieldPosition="0">
        <references count="1">
          <reference field="4294967294" count="1" selected="0">
            <x v="0"/>
          </reference>
        </references>
      </pivotArea>
    </chartFormat>
  </chartFormats>
  <pivotHierarchies count="62">
    <pivotHierarchy dragToData="1"/>
    <pivotHierarchy multipleItemSelectionAllowed="1" dragToData="1">
      <members count="1" level="1">
        <member name="[WA_Fn-UseC_-HR-Employee-Attrition].[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4.xml><?xml version="1.0" encoding="utf-8"?>
<pivotTableDefinition xmlns="http://schemas.openxmlformats.org/spreadsheetml/2006/main" name="PivotTable17" cacheId="14" applyNumberFormats="0" applyBorderFormats="0" applyFontFormats="0" applyPatternFormats="0" applyAlignmentFormats="0" applyWidthHeightFormats="1" dataCaption="Values" tag="7368e894-3eb5-40e8-b230-64dceac66e15" updatedVersion="6" minRefreshableVersion="3" useAutoFormatting="1" itemPrintTitles="1" createdVersion="6" indent="0" outline="1" outlineData="1" multipleFieldFilters="0">
  <location ref="D27:D28" firstHeaderRow="1" firstDataRow="1" firstDataCol="0"/>
  <pivotFields count="4">
    <pivotField allDrilled="1" showAll="0" dataSourceSort="1" defaultAttributeDrillState="1">
      <items count="2">
        <item s="1" x="0"/>
        <item t="default"/>
      </items>
    </pivotField>
    <pivotField allDrilled="1" showAll="0" dataSourceSort="1" defaultAttributeDrillState="1"/>
    <pivotField allDrilled="1" showAll="0" dataSourceSort="1" defaultAttributeDrillState="1"/>
    <pivotField dataField="1" showAll="0"/>
  </pivotFields>
  <rowItems count="1">
    <i/>
  </rowItems>
  <colItems count="1">
    <i/>
  </colItems>
  <dataFields count="1">
    <dataField name="Count of Attrition" fld="3" subtotal="count" baseField="0" baseItem="0"/>
  </dataFields>
  <pivotHierarchies count="6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5.xml><?xml version="1.0" encoding="utf-8"?>
<pivotTableDefinition xmlns="http://schemas.openxmlformats.org/spreadsheetml/2006/main" name="PivotTable2" cacheId="6" applyNumberFormats="0" applyBorderFormats="0" applyFontFormats="0" applyPatternFormats="0" applyAlignmentFormats="0" applyWidthHeightFormats="1" dataCaption="Values" tag="ba256b81-a47e-4a71-a6a0-23e964f554b7" updatedVersion="6" minRefreshableVersion="3" useAutoFormatting="1" itemPrintTitles="1" createdVersion="6" indent="0" outline="1" outlineData="1" multipleFieldFilters="0">
  <location ref="A4:A5" firstHeaderRow="1" firstDataRow="1" firstDataCol="0"/>
  <pivotFields count="4">
    <pivotField allDrilled="1" showAll="0" dataSourceSort="1" defaultAttributeDrillState="1"/>
    <pivotField allDrilled="1" showAll="0" dataSourceSort="1" defaultAttributeDrillState="1"/>
    <pivotField allDrilled="1" showAll="0" dataSourceSort="1" defaultAttributeDrillState="1"/>
    <pivotField dataField="1" showAll="0"/>
  </pivotFields>
  <rowItems count="1">
    <i/>
  </rowItems>
  <colItems count="1">
    <i/>
  </colItems>
  <dataFields count="1">
    <dataField name="Average of MonthlyIncome" fld="3" subtotal="average" baseField="0" baseItem="0" numFmtId="164"/>
  </dataFields>
  <formats count="2">
    <format dxfId="19">
      <pivotArea outline="0" collapsedLevelsAreSubtotals="1" fieldPosition="0"/>
    </format>
    <format dxfId="18">
      <pivotArea outline="0" collapsedLevelsAreSubtotals="1" fieldPosition="0"/>
    </format>
  </formats>
  <pivotHierarchies count="62">
    <pivotHierarchy dragToData="1"/>
    <pivotHierarchy multipleItemSelectionAllowed="1" dragToData="1">
      <members count="1" level="1">
        <member name="[WA_Fn-UseC_-HR-Employee-Attrition].[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6.xml><?xml version="1.0" encoding="utf-8"?>
<pivotTableDefinition xmlns="http://schemas.openxmlformats.org/spreadsheetml/2006/main" name="PivotTable12" cacheId="3" applyNumberFormats="0" applyBorderFormats="0" applyFontFormats="0" applyPatternFormats="0" applyAlignmentFormats="0" applyWidthHeightFormats="1" dataCaption="Values" tag="b579bcd1-2c21-44f8-8ab1-89fda7ce1258" updatedVersion="6" minRefreshableVersion="3" useAutoFormatting="1" itemPrintTitles="1" createdVersion="6" indent="0" outline="1" outlineData="1" multipleFieldFilters="0">
  <location ref="F3:G7" firstHeaderRow="1" firstDataRow="1" firstDataCol="1"/>
  <pivotFields count="5">
    <pivotField axis="axisRow" allDrilled="1" showAll="0" dataSourceSort="1" defaultAttributeDrillState="1">
      <items count="4">
        <item x="0"/>
        <item x="1"/>
        <item x="2"/>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4">
    <i>
      <x/>
    </i>
    <i>
      <x v="1"/>
    </i>
    <i>
      <x v="2"/>
    </i>
    <i t="grand">
      <x/>
    </i>
  </rowItems>
  <colItems count="1">
    <i/>
  </colItems>
  <dataFields count="1">
    <dataField name="Sum of EnvironmentSatisfaction" fld="1" showDataAs="percentOfCol" baseField="0" baseItem="0" numFmtId="10"/>
  </dataFields>
  <pivotHierarchies count="62">
    <pivotHierarchy dragToData="1"/>
    <pivotHierarchy multipleItemSelectionAllowed="1" dragToData="1">
      <members count="1" level="1">
        <member name="[WA_Fn-UseC_-HR-Employee-Attrition].[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7.xml><?xml version="1.0" encoding="utf-8"?>
<pivotTableDefinition xmlns="http://schemas.openxmlformats.org/spreadsheetml/2006/main" name="PivotTable3" cacheId="7" applyNumberFormats="0" applyBorderFormats="0" applyFontFormats="0" applyPatternFormats="0" applyAlignmentFormats="0" applyWidthHeightFormats="1" dataCaption="Values" tag="115de898-4ad7-45eb-93a2-43d36db03adb" updatedVersion="6" minRefreshableVersion="3" useAutoFormatting="1" itemPrintTitles="1" createdVersion="6" indent="0" outline="1" outlineData="1" multipleFieldFilters="0">
  <location ref="A7:A8"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Average of DailyRate" fld="0" subtotal="average" baseField="0" baseItem="0"/>
  </dataFields>
  <pivotHierarchies count="62">
    <pivotHierarchy dragToData="1"/>
    <pivotHierarchy multipleItemSelectionAllowed="1" dragToData="1">
      <members count="1" level="1">
        <member name="[WA_Fn-UseC_-HR-Employee-Attrition].[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TotalWorkingYears"/>
    <pivotHierarchy dragToData="1"/>
    <pivotHierarchy dragToData="1" caption="Average of Daily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8.xml><?xml version="1.0" encoding="utf-8"?>
<pivotTableDefinition xmlns="http://schemas.openxmlformats.org/spreadsheetml/2006/main" name="PivotTable5" cacheId="9" applyNumberFormats="0" applyBorderFormats="0" applyFontFormats="0" applyPatternFormats="0" applyAlignmentFormats="0" applyWidthHeightFormats="1" dataCaption="Values" tag="8775ac59-419b-4fb6-908c-4fb926683376" updatedVersion="6" minRefreshableVersion="3" useAutoFormatting="1" subtotalHiddenItems="1" itemPrintTitles="1" createdVersion="6" indent="0" outline="1" outlineData="1" multipleFieldFilters="0">
  <location ref="A13:A14"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Average of JobSatisfaction" fld="0" subtotal="average" baseField="0" baseItem="0" numFmtId="2"/>
  </dataFields>
  <formats count="7">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s>
  <pivotHierarchies count="62">
    <pivotHierarchy dragToData="1"/>
    <pivotHierarchy multipleItemSelectionAllowed="1" dragToData="1">
      <members count="1" level="1">
        <member name="[WA_Fn-UseC_-HR-Employee-Attrition].[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DistanceFromHome"/>
    <pivotHierarchy dragToData="1" caption="Average of DistanceFromHome"/>
    <pivotHierarchy dragToData="1"/>
    <pivotHierarchy dragToData="1" caption="Average of JobSatisfa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9.xml><?xml version="1.0" encoding="utf-8"?>
<pivotTableDefinition xmlns="http://schemas.openxmlformats.org/spreadsheetml/2006/main" name="PivotTable6" cacheId="10" applyNumberFormats="0" applyBorderFormats="0" applyFontFormats="0" applyPatternFormats="0" applyAlignmentFormats="0" applyWidthHeightFormats="1" dataCaption="Values" tag="0fe0aa74-3d2d-4668-b8d5-0e682d586d4c" updatedVersion="6" minRefreshableVersion="3" useAutoFormatting="1" itemPrintTitles="1" createdVersion="6" indent="0" outline="1" outlineData="1" multipleFieldFilters="0">
  <location ref="A16:A17"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Average of PerformanceRating" fld="0" subtotal="average" baseField="0" baseItem="0" numFmtId="2"/>
  </dataFields>
  <formats count="7">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s>
  <pivotHierarchies count="62">
    <pivotHierarchy dragToData="1"/>
    <pivotHierarchy multipleItemSelectionAllowed="1" dragToData="1">
      <members count="1" level="1">
        <member name="[WA_Fn-UseC_-HR-Employee-Attrition].[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10.xml><?xml version="1.0" encoding="utf-8"?>
<pivotTableDefinition xmlns="http://schemas.openxmlformats.org/spreadsheetml/2006/main" name="PivotTable8" cacheId="12" applyNumberFormats="0" applyBorderFormats="0" applyFontFormats="0" applyPatternFormats="0" applyAlignmentFormats="0" applyWidthHeightFormats="1" dataCaption="Values" tag="4b91fae3-e95e-45dc-945d-0832fceb8a00" updatedVersion="6" minRefreshableVersion="3" useAutoFormatting="1" itemPrintTitles="1" createdVersion="6" indent="0" outline="1" outlineData="1" multipleFieldFilters="0" chartFormat="1">
  <location ref="B3:D6" firstHeaderRow="0" firstDataRow="1" firstDataCol="1"/>
  <pivotFields count="6">
    <pivotField dataField="1" showAll="0"/>
    <pivotField dataField="1" showAll="0"/>
    <pivotField axis="axisRow" allDrilled="1" showAll="0" dataSourceSort="1" defaultAttributeDrillState="1">
      <items count="3">
        <item x="0"/>
        <item x="1"/>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2"/>
  </rowFields>
  <rowItems count="3">
    <i>
      <x/>
    </i>
    <i>
      <x v="1"/>
    </i>
    <i t="grand">
      <x/>
    </i>
  </rowItems>
  <colFields count="1">
    <field x="-2"/>
  </colFields>
  <colItems count="2">
    <i>
      <x/>
    </i>
    <i i="1">
      <x v="1"/>
    </i>
  </colItems>
  <dataFields count="2">
    <dataField name="Sum of DailyRate" fld="0" baseField="0" baseItem="0"/>
    <dataField name="Sum of DistanceFromHome" fld="1" baseField="0" baseItem="0"/>
  </dataFields>
  <pivotHierarchies count="62">
    <pivotHierarchy dragToData="1"/>
    <pivotHierarchy multipleItemSelectionAllowed="1" dragToData="1">
      <members count="1" level="1">
        <member name="[WA_Fn-UseC_-HR-Employee-Attrition].[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11.xml><?xml version="1.0" encoding="utf-8"?>
<pivotTableDefinition xmlns="http://schemas.openxmlformats.org/spreadsheetml/2006/main" name="PivotTable10" cacheId="1" applyNumberFormats="0" applyBorderFormats="0" applyFontFormats="0" applyPatternFormats="0" applyAlignmentFormats="0" applyWidthHeightFormats="1" dataCaption="Values" tag="1a2ee680-6d21-4cc4-9764-3da8342e49a6" updatedVersion="6" minRefreshableVersion="3" useAutoFormatting="1" subtotalHiddenItems="1" itemPrintTitles="1" createdVersion="6" indent="0" outline="1" outlineData="1" multipleFieldFilters="0" chartFormat="3">
  <location ref="B14:C21" firstHeaderRow="1" firstDataRow="1" firstDataCol="1"/>
  <pivotFields count="5">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7">
    <i>
      <x/>
    </i>
    <i>
      <x v="1"/>
    </i>
    <i>
      <x v="2"/>
    </i>
    <i>
      <x v="3"/>
    </i>
    <i>
      <x v="4"/>
    </i>
    <i>
      <x v="5"/>
    </i>
    <i t="grand">
      <x/>
    </i>
  </rowItems>
  <colItems count="1">
    <i/>
  </colItems>
  <dataFields count="1">
    <dataField name="Sum of MonthlyIncome" fld="1" showDataAs="percentOfCol" baseField="0" baseItem="0" numFmtId="10"/>
  </dataFields>
  <chartFormats count="1">
    <chartFormat chart="2" format="4" series="1">
      <pivotArea type="data" outline="0" fieldPosition="0">
        <references count="1">
          <reference field="4294967294" count="1" selected="0">
            <x v="0"/>
          </reference>
        </references>
      </pivotArea>
    </chartFormat>
  </chartFormats>
  <pivotHierarchies count="62">
    <pivotHierarchy dragToData="1"/>
    <pivotHierarchy multipleItemSelectionAllowed="1" dragToData="1">
      <members count="1" level="1">
        <member name="[WA_Fn-UseC_-HR-Employee-Attrition].[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12.xml><?xml version="1.0" encoding="utf-8"?>
<pivotTableDefinition xmlns="http://schemas.openxmlformats.org/spreadsheetml/2006/main" name="PivotTable13" cacheId="4" applyNumberFormats="0" applyBorderFormats="0" applyFontFormats="0" applyPatternFormats="0" applyAlignmentFormats="0" applyWidthHeightFormats="1" dataCaption="Values" tag="3e1ab6f9-92ee-480e-a60c-02e84ef36af1" updatedVersion="6" minRefreshableVersion="3" useAutoFormatting="1" itemPrintTitles="1" createdVersion="6" indent="0" outline="1" outlineData="1" multipleFieldFilters="0" chartFormat="3">
  <location ref="F9:I14" firstHeaderRow="1" firstDataRow="2" firstDataCol="1"/>
  <pivotFields count="6">
    <pivotField axis="axisRow" allDrilled="1" showAll="0" dataSourceSort="1" defaultAttributeDrillState="1">
      <items count="4">
        <item x="0"/>
        <item x="1"/>
        <item x="2"/>
        <item t="default"/>
      </items>
    </pivotField>
    <pivotField dataField="1" showAll="0"/>
    <pivotField axis="axisCol" allDrilled="1" showAll="0" dataSourceSort="1" defaultAttributeDrillState="1">
      <items count="3">
        <item x="0"/>
        <item x="1"/>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4">
    <i>
      <x/>
    </i>
    <i>
      <x v="1"/>
    </i>
    <i>
      <x v="2"/>
    </i>
    <i t="grand">
      <x/>
    </i>
  </rowItems>
  <colFields count="1">
    <field x="2"/>
  </colFields>
  <colItems count="3">
    <i>
      <x/>
    </i>
    <i>
      <x v="1"/>
    </i>
    <i t="grand">
      <x/>
    </i>
  </colItems>
  <dataFields count="1">
    <dataField name="Sum of PerformanceRating" fld="1" showDataAs="percentOfRow" baseField="0" baseItem="0" numFmtId="10"/>
  </dataFields>
  <chartFormats count="2">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s>
  <pivotHierarchies count="62">
    <pivotHierarchy dragToData="1"/>
    <pivotHierarchy multipleItemSelectionAllowed="1" dragToData="1">
      <members count="1" level="1">
        <member name="[WA_Fn-UseC_-HR-Employee-Attrition].[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13.xml><?xml version="1.0" encoding="utf-8"?>
<pivotTableDefinition xmlns="http://schemas.openxmlformats.org/spreadsheetml/2006/main" name="PivotTable14" cacheId="5" applyNumberFormats="0" applyBorderFormats="0" applyFontFormats="0" applyPatternFormats="0" applyAlignmentFormats="0" applyWidthHeightFormats="1" dataCaption="Values" tag="f1ce5e17-0605-449d-9d8c-cc542d9e3c8d" updatedVersion="6" minRefreshableVersion="3" useAutoFormatting="1" itemPrintTitles="1" createdVersion="6" indent="0" outline="1" outlineData="1" multipleFieldFilters="0">
  <location ref="F17:G19" firstHeaderRow="1" firstDataRow="1" firstDataCol="1"/>
  <pivotFields count="4">
    <pivotField axis="axisRow" allDrilled="1" showAll="0" dataSourceSort="1" defaultAttributeDrillState="1">
      <items count="2">
        <item s="1" x="0"/>
        <item t="default"/>
      </items>
    </pivotField>
    <pivotField dataField="1" showAll="0"/>
    <pivotField allDrilled="1" showAll="0" dataSourceSort="1" defaultAttributeDrillState="1"/>
    <pivotField allDrilled="1" showAll="0" dataSourceSort="1" defaultAttributeDrillState="1"/>
  </pivotFields>
  <rowFields count="1">
    <field x="0"/>
  </rowFields>
  <rowItems count="2">
    <i>
      <x/>
    </i>
    <i t="grand">
      <x/>
    </i>
  </rowItems>
  <colItems count="1">
    <i/>
  </colItems>
  <dataFields count="1">
    <dataField name="Count of Department" fld="1" subtotal="count" baseField="0" baseItem="0"/>
  </dataFields>
  <pivotHierarchies count="6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14.xml><?xml version="1.0" encoding="utf-8"?>
<pivotTableDefinition xmlns="http://schemas.openxmlformats.org/spreadsheetml/2006/main" name="PivotTable11" cacheId="2" applyNumberFormats="0" applyBorderFormats="0" applyFontFormats="0" applyPatternFormats="0" applyAlignmentFormats="0" applyWidthHeightFormats="1" dataCaption="Values" tag="aa11b5e2-4465-4151-b64d-803dabd43866" updatedVersion="6" minRefreshableVersion="3" useAutoFormatting="1" itemPrintTitles="1" createdVersion="6" indent="0" outline="1" outlineData="1" multipleFieldFilters="0" chartFormat="6">
  <location ref="A23:B33" firstHeaderRow="1" firstDataRow="1" firstDataCol="1"/>
  <pivotFields count="5">
    <pivotField axis="axisRow" allDrilled="1" showAll="0" dataSourceSort="1" defaultAttributeDrillState="1">
      <items count="10">
        <item x="0"/>
        <item x="1"/>
        <item x="2"/>
        <item x="3"/>
        <item x="4"/>
        <item x="5"/>
        <item x="6"/>
        <item x="7"/>
        <item x="8"/>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10">
    <i>
      <x/>
    </i>
    <i>
      <x v="1"/>
    </i>
    <i>
      <x v="2"/>
    </i>
    <i>
      <x v="3"/>
    </i>
    <i>
      <x v="4"/>
    </i>
    <i>
      <x v="5"/>
    </i>
    <i>
      <x v="6"/>
    </i>
    <i>
      <x v="7"/>
    </i>
    <i>
      <x v="8"/>
    </i>
    <i t="grand">
      <x/>
    </i>
  </rowItems>
  <colItems count="1">
    <i/>
  </colItems>
  <dataFields count="1">
    <dataField name="Sum of MonthlyRate" fld="1" showDataAs="percentOfTotal" baseField="0" baseItem="0" numFmtId="10"/>
  </dataFields>
  <chartFormats count="1">
    <chartFormat chart="5" format="7" series="1">
      <pivotArea type="data" outline="0" fieldPosition="0">
        <references count="1">
          <reference field="4294967294" count="1" selected="0">
            <x v="0"/>
          </reference>
        </references>
      </pivotArea>
    </chartFormat>
  </chartFormats>
  <pivotHierarchies count="62">
    <pivotHierarchy dragToData="1"/>
    <pivotHierarchy multipleItemSelectionAllowed="1" dragToData="1">
      <members count="1" level="1">
        <member name="[WA_Fn-UseC_-HR-Employee-Attrition].[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pivotTables/pivotTable15.xml><?xml version="1.0" encoding="utf-8"?>
<pivotTableDefinition xmlns="http://schemas.openxmlformats.org/spreadsheetml/2006/main" name="PivotTable4" cacheId="8" applyNumberFormats="0" applyBorderFormats="0" applyFontFormats="0" applyPatternFormats="0" applyAlignmentFormats="0" applyWidthHeightFormats="1" dataCaption="Values" tag="62a8a5da-659b-4c67-8cad-4cd9abcbc004" updatedVersion="6" minRefreshableVersion="3" useAutoFormatting="1" itemPrintTitles="1" createdVersion="6" indent="0" outline="1" outlineData="1" multipleFieldFilters="0">
  <location ref="A10:A11"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Sum of TotalWorkingYears" fld="0" baseField="0" baseItem="0"/>
  </dataFields>
  <pivotHierarchies count="62">
    <pivotHierarchy dragToData="1"/>
    <pivotHierarchy multipleItemSelectionAllowed="1" dragToData="1">
      <members count="1" level="1">
        <member name="[WA_Fn-UseC_-HR-Employee-Attrition].[Attrition].&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JobSatisfaction].&amp;[2]"/>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A_Fn-UseC_-HR-Employee-Attrition].[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ttrition" sourceName="[WA_Fn-UseC_-HR-Employee-Attrition].[Attrition]">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7"/>
  </pivotTables>
  <data>
    <olap pivotCacheId="1">
      <levels count="2">
        <level uniqueName="[WA_Fn-UseC_-HR-Employee-Attrition].[Attrition].[(All)]" sourceCaption="(All)" count="0"/>
        <level uniqueName="[WA_Fn-UseC_-HR-Employee-Attrition].[Attrition].[Attrition]" sourceCaption="Attrition" count="2">
          <ranges>
            <range startItem="0">
              <i n="[WA_Fn-UseC_-HR-Employee-Attrition].[Attrition].&amp;[No]" c="No"/>
              <i n="[WA_Fn-UseC_-HR-Employee-Attrition].[Attrition].&amp;[Yes]" c="Yes"/>
            </range>
          </ranges>
        </level>
      </levels>
      <selections count="1">
        <selection n="[WA_Fn-UseC_-HR-Employee-Attrition].[Attrition].&amp;[No]"/>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Satisfaction" sourceName="[WA_Fn-UseC_-HR-Employee-Attrition].[JobSatisfaction]">
  <pivotTables>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7"/>
  </pivotTables>
  <data>
    <olap pivotCacheId="2">
      <levels count="2">
        <level uniqueName="[WA_Fn-UseC_-HR-Employee-Attrition].[JobSatisfaction].[(All)]" sourceCaption="(All)" count="0"/>
        <level uniqueName="[WA_Fn-UseC_-HR-Employee-Attrition].[JobSatisfaction].[JobSatisfaction]" sourceCaption="JobSatisfaction" count="4">
          <ranges>
            <range startItem="0">
              <i n="[WA_Fn-UseC_-HR-Employee-Attrition].[JobSatisfaction].&amp;[1]" c="1"/>
              <i n="[WA_Fn-UseC_-HR-Employee-Attrition].[JobSatisfaction].&amp;[2]" c="2"/>
              <i n="[WA_Fn-UseC_-HR-Employee-Attrition].[JobSatisfaction].&amp;[3]" c="3"/>
              <i n="[WA_Fn-UseC_-HR-Employee-Attrition].[JobSatisfaction].&amp;[4]" c="4"/>
            </range>
          </ranges>
        </level>
      </levels>
      <selections count="1">
        <selection n="[WA_Fn-UseC_-HR-Employee-Attrition].[JobSatisfaction].&amp;[2]"/>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lationshipSatisfaction" sourceName="[WA_Fn-UseC_-HR-Employee-Attrition].[RelationshipSatisfaction]">
  <pivotTables>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7"/>
  </pivotTables>
  <data>
    <olap pivotCacheId="2">
      <levels count="2">
        <level uniqueName="[WA_Fn-UseC_-HR-Employee-Attrition].[RelationshipSatisfaction].[(All)]" sourceCaption="(All)" count="0"/>
        <level uniqueName="[WA_Fn-UseC_-HR-Employee-Attrition].[RelationshipSatisfaction].[RelationshipSatisfaction]" sourceCaption="RelationshipSatisfaction" count="4">
          <ranges>
            <range startItem="0">
              <i n="[WA_Fn-UseC_-HR-Employee-Attrition].[RelationshipSatisfaction].&amp;[1]" c="1"/>
              <i n="[WA_Fn-UseC_-HR-Employee-Attrition].[RelationshipSatisfaction].&amp;[2]" c="2"/>
              <i n="[WA_Fn-UseC_-HR-Employee-Attrition].[RelationshipSatisfaction].&amp;[3]" c="3"/>
              <i n="[WA_Fn-UseC_-HR-Employee-Attrition].[RelationshipSatisfaction].&amp;[4]" c="4"/>
            </range>
          </ranges>
        </level>
      </levels>
      <selections count="1">
        <selection n="[WA_Fn-UseC_-HR-Employee-Attrition].[RelationshipSatisfaction].&amp;[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ttrition" cache="Slicer_Attrition" caption="Attrition" columnCount="2" level="1" style="Slicer Style 1" rowHeight="864000"/>
  <slicer name="JobSatisfaction" cache="Slicer_JobSatisfaction" caption="JobSatisfaction" columnCount="4" level="1" style="Slicer Style 1" rowHeight="828000"/>
  <slicer name="RelationshipSatisfaction" cache="Slicer_RelationshipSatisfaction" caption="RelationshipSatisfaction" columnCount="4" level="1" style="Slicer Style 1" rowHeight="93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zoomScale="63" zoomScaleNormal="85" workbookViewId="0">
      <selection activeCell="D28" sqref="D28"/>
    </sheetView>
  </sheetViews>
  <sheetFormatPr defaultRowHeight="14.5" x14ac:dyDescent="0.35"/>
  <cols>
    <col min="1" max="1" width="25.453125" customWidth="1"/>
    <col min="2" max="2" width="22.1796875" customWidth="1"/>
    <col min="3" max="3" width="21.90625" customWidth="1"/>
    <col min="4" max="4" width="16.08984375" customWidth="1"/>
    <col min="5" max="5" width="11.08984375" customWidth="1"/>
    <col min="6" max="6" width="14.08984375" customWidth="1"/>
    <col min="7" max="7" width="19.453125" customWidth="1"/>
    <col min="8" max="8" width="7" customWidth="1"/>
    <col min="9" max="9" width="11.08984375" customWidth="1"/>
    <col min="10" max="48" width="15.90625" bestFit="1" customWidth="1"/>
    <col min="49" max="49" width="10.7265625" bestFit="1" customWidth="1"/>
  </cols>
  <sheetData>
    <row r="1" spans="1:9" x14ac:dyDescent="0.35">
      <c r="A1" t="s">
        <v>0</v>
      </c>
    </row>
    <row r="2" spans="1:9" x14ac:dyDescent="0.35">
      <c r="A2" s="1">
        <v>79</v>
      </c>
    </row>
    <row r="3" spans="1:9" x14ac:dyDescent="0.35">
      <c r="B3" s="4" t="s">
        <v>33</v>
      </c>
      <c r="C3" t="s">
        <v>3</v>
      </c>
      <c r="D3" t="s">
        <v>5</v>
      </c>
      <c r="F3" s="4" t="s">
        <v>33</v>
      </c>
      <c r="G3" t="s">
        <v>39</v>
      </c>
    </row>
    <row r="4" spans="1:9" x14ac:dyDescent="0.35">
      <c r="A4" t="s">
        <v>41</v>
      </c>
      <c r="B4" s="5" t="s">
        <v>22</v>
      </c>
      <c r="C4" s="7">
        <v>20776</v>
      </c>
      <c r="D4" s="1">
        <v>226</v>
      </c>
      <c r="F4" s="5" t="s">
        <v>31</v>
      </c>
      <c r="G4" s="2">
        <v>6.1946902654867256E-2</v>
      </c>
    </row>
    <row r="5" spans="1:9" x14ac:dyDescent="0.35">
      <c r="A5" s="6">
        <v>6212.4177215189875</v>
      </c>
      <c r="B5" s="5" t="s">
        <v>12</v>
      </c>
      <c r="C5" s="7">
        <v>39510</v>
      </c>
      <c r="D5" s="1">
        <v>477</v>
      </c>
      <c r="F5" s="5" t="s">
        <v>10</v>
      </c>
      <c r="G5" s="2">
        <v>0.69911504424778759</v>
      </c>
    </row>
    <row r="6" spans="1:9" x14ac:dyDescent="0.35">
      <c r="B6" s="5" t="s">
        <v>34</v>
      </c>
      <c r="C6" s="7">
        <v>60286</v>
      </c>
      <c r="D6" s="1">
        <v>703</v>
      </c>
      <c r="F6" s="5" t="s">
        <v>16</v>
      </c>
      <c r="G6" s="2">
        <v>0.23893805309734514</v>
      </c>
    </row>
    <row r="7" spans="1:9" x14ac:dyDescent="0.35">
      <c r="A7" t="s">
        <v>4</v>
      </c>
      <c r="F7" s="5" t="s">
        <v>34</v>
      </c>
      <c r="G7" s="2">
        <v>1</v>
      </c>
    </row>
    <row r="8" spans="1:9" x14ac:dyDescent="0.35">
      <c r="A8" s="7">
        <v>763.11392405063293</v>
      </c>
      <c r="B8" s="4" t="s">
        <v>33</v>
      </c>
      <c r="C8" t="s">
        <v>37</v>
      </c>
    </row>
    <row r="9" spans="1:9" x14ac:dyDescent="0.35">
      <c r="B9" s="5" t="s">
        <v>31</v>
      </c>
      <c r="C9" s="2">
        <v>6.3291139240506333E-2</v>
      </c>
      <c r="F9" s="4" t="s">
        <v>7</v>
      </c>
      <c r="G9" s="4" t="s">
        <v>36</v>
      </c>
    </row>
    <row r="10" spans="1:9" x14ac:dyDescent="0.35">
      <c r="A10" t="s">
        <v>2</v>
      </c>
      <c r="B10" s="5" t="s">
        <v>10</v>
      </c>
      <c r="C10" s="2">
        <v>0.65822784810126578</v>
      </c>
      <c r="F10" s="4" t="s">
        <v>33</v>
      </c>
      <c r="G10" t="s">
        <v>9</v>
      </c>
      <c r="H10" t="s">
        <v>15</v>
      </c>
      <c r="I10" t="s">
        <v>34</v>
      </c>
    </row>
    <row r="11" spans="1:9" x14ac:dyDescent="0.35">
      <c r="A11" s="1">
        <v>918</v>
      </c>
      <c r="B11" s="5" t="s">
        <v>16</v>
      </c>
      <c r="C11" s="2">
        <v>0.27848101265822783</v>
      </c>
      <c r="F11" s="5" t="s">
        <v>14</v>
      </c>
      <c r="G11" s="2">
        <v>0.65454545454545454</v>
      </c>
      <c r="H11" s="2">
        <v>0.34545454545454546</v>
      </c>
      <c r="I11" s="2">
        <v>1</v>
      </c>
    </row>
    <row r="12" spans="1:9" x14ac:dyDescent="0.35">
      <c r="B12" s="5" t="s">
        <v>34</v>
      </c>
      <c r="C12" s="2">
        <v>1</v>
      </c>
      <c r="F12" s="5" t="s">
        <v>19</v>
      </c>
      <c r="G12" s="2">
        <v>0.81034482758620685</v>
      </c>
      <c r="H12" s="2">
        <v>0.18965517241379309</v>
      </c>
      <c r="I12" s="2">
        <v>1</v>
      </c>
    </row>
    <row r="13" spans="1:9" x14ac:dyDescent="0.35">
      <c r="A13" t="s">
        <v>6</v>
      </c>
      <c r="F13" s="5" t="s">
        <v>23</v>
      </c>
      <c r="G13" s="2">
        <v>0.77500000000000002</v>
      </c>
      <c r="H13" s="2">
        <v>0.22500000000000001</v>
      </c>
      <c r="I13" s="2">
        <v>1</v>
      </c>
    </row>
    <row r="14" spans="1:9" x14ac:dyDescent="0.35">
      <c r="A14" s="3">
        <v>2</v>
      </c>
      <c r="B14" s="4" t="s">
        <v>33</v>
      </c>
      <c r="C14" t="s">
        <v>1</v>
      </c>
      <c r="F14" s="5" t="s">
        <v>34</v>
      </c>
      <c r="G14" s="2">
        <v>0.76494023904382469</v>
      </c>
      <c r="H14" s="2">
        <v>0.23505976095617531</v>
      </c>
      <c r="I14" s="2">
        <v>1</v>
      </c>
    </row>
    <row r="15" spans="1:9" x14ac:dyDescent="0.35">
      <c r="B15" s="5" t="s">
        <v>31</v>
      </c>
      <c r="C15" s="2">
        <v>5.2813780484574583E-3</v>
      </c>
    </row>
    <row r="16" spans="1:9" x14ac:dyDescent="0.35">
      <c r="A16" t="s">
        <v>8</v>
      </c>
      <c r="B16" s="5" t="s">
        <v>21</v>
      </c>
      <c r="C16" s="2">
        <v>0.3827858046664398</v>
      </c>
    </row>
    <row r="17" spans="1:7" x14ac:dyDescent="0.35">
      <c r="A17" s="3">
        <v>3.1772151898734178</v>
      </c>
      <c r="B17" s="5" t="s">
        <v>30</v>
      </c>
      <c r="C17" s="2">
        <v>0.14174346602659843</v>
      </c>
      <c r="F17" s="4" t="s">
        <v>33</v>
      </c>
      <c r="G17" t="s">
        <v>35</v>
      </c>
    </row>
    <row r="18" spans="1:7" x14ac:dyDescent="0.35">
      <c r="B18" s="5" t="s">
        <v>11</v>
      </c>
      <c r="C18" s="2">
        <v>0.36446602456085303</v>
      </c>
      <c r="F18" s="5" t="s">
        <v>9</v>
      </c>
      <c r="G18" s="1">
        <v>79</v>
      </c>
    </row>
    <row r="19" spans="1:7" x14ac:dyDescent="0.35">
      <c r="A19" t="s">
        <v>32</v>
      </c>
      <c r="B19" s="5" t="s">
        <v>20</v>
      </c>
      <c r="C19" s="2">
        <v>2.8275340732424444E-2</v>
      </c>
      <c r="F19" s="5" t="s">
        <v>34</v>
      </c>
      <c r="G19" s="1">
        <v>79</v>
      </c>
    </row>
    <row r="20" spans="1:7" x14ac:dyDescent="0.35">
      <c r="A20" s="3">
        <v>7.4556962025316453</v>
      </c>
      <c r="B20" s="5" t="s">
        <v>17</v>
      </c>
      <c r="C20" s="2">
        <v>7.7447985965226854E-2</v>
      </c>
    </row>
    <row r="21" spans="1:7" x14ac:dyDescent="0.35">
      <c r="B21" s="5" t="s">
        <v>34</v>
      </c>
      <c r="C21" s="2">
        <v>1</v>
      </c>
    </row>
    <row r="23" spans="1:7" x14ac:dyDescent="0.35">
      <c r="A23" s="4" t="s">
        <v>33</v>
      </c>
      <c r="B23" t="s">
        <v>38</v>
      </c>
    </row>
    <row r="24" spans="1:7" x14ac:dyDescent="0.35">
      <c r="A24" s="5" t="s">
        <v>25</v>
      </c>
      <c r="B24" s="2">
        <v>0.10988909130448733</v>
      </c>
    </row>
    <row r="25" spans="1:7" x14ac:dyDescent="0.35">
      <c r="A25" s="5" t="s">
        <v>31</v>
      </c>
      <c r="B25" s="2">
        <v>7.0792974000092684E-2</v>
      </c>
    </row>
    <row r="26" spans="1:7" x14ac:dyDescent="0.35">
      <c r="A26" s="5" t="s">
        <v>13</v>
      </c>
      <c r="B26" s="2">
        <v>8.5563866082473863E-2</v>
      </c>
    </row>
    <row r="27" spans="1:7" x14ac:dyDescent="0.35">
      <c r="A27" s="5" t="s">
        <v>27</v>
      </c>
      <c r="B27" s="2">
        <v>5.4513174641088624E-2</v>
      </c>
      <c r="D27" t="s">
        <v>40</v>
      </c>
    </row>
    <row r="28" spans="1:7" x14ac:dyDescent="0.35">
      <c r="A28" s="5" t="s">
        <v>26</v>
      </c>
      <c r="B28" s="2">
        <v>0.1389032481167625</v>
      </c>
      <c r="D28" s="1">
        <v>79</v>
      </c>
    </row>
    <row r="29" spans="1:7" x14ac:dyDescent="0.35">
      <c r="A29" s="5" t="s">
        <v>29</v>
      </c>
      <c r="B29" s="2">
        <v>3.8019472301346523E-2</v>
      </c>
    </row>
    <row r="30" spans="1:7" x14ac:dyDescent="0.35">
      <c r="A30" s="5" t="s">
        <v>24</v>
      </c>
      <c r="B30" s="2">
        <v>0.25549017650560962</v>
      </c>
    </row>
    <row r="31" spans="1:7" x14ac:dyDescent="0.35">
      <c r="A31" s="5" t="s">
        <v>28</v>
      </c>
      <c r="B31" s="2">
        <v>0.20784061375895274</v>
      </c>
    </row>
    <row r="32" spans="1:7" x14ac:dyDescent="0.35">
      <c r="A32" s="5" t="s">
        <v>18</v>
      </c>
      <c r="B32" s="2">
        <v>3.8987383289186134E-2</v>
      </c>
    </row>
    <row r="33" spans="1:2" x14ac:dyDescent="0.35">
      <c r="A33" s="5" t="s">
        <v>34</v>
      </c>
      <c r="B33" s="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29" zoomScaleNormal="115" workbookViewId="0">
      <selection activeCell="AH30" sqref="AH30"/>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9462BC38-9756-4B49-9638-D4ED5956754E}">
  <ds:schemaRefs/>
</ds:datastoreItem>
</file>

<file path=customXml/itemProps2.xml><?xml version="1.0" encoding="utf-8"?>
<ds:datastoreItem xmlns:ds="http://schemas.openxmlformats.org/officeDocument/2006/customXml" ds:itemID="{D3C951E7-3479-43D9-8436-694935528AF5}">
  <ds:schemaRefs/>
</ds:datastoreItem>
</file>

<file path=customXml/itemProps3.xml><?xml version="1.0" encoding="utf-8"?>
<ds:datastoreItem xmlns:ds="http://schemas.openxmlformats.org/officeDocument/2006/customXml" ds:itemID="{075A9886-2A5E-4256-B115-BD3D9D5AF9E2}">
  <ds:schemaRefs/>
</ds:datastoreItem>
</file>

<file path=customXml/itemProps4.xml><?xml version="1.0" encoding="utf-8"?>
<ds:datastoreItem xmlns:ds="http://schemas.openxmlformats.org/officeDocument/2006/customXml" ds:itemID="{97A9D5A6-3418-4D6E-8830-BB3D484DEDD8}">
  <ds:schemaRefs/>
</ds:datastoreItem>
</file>

<file path=customXml/itemProps5.xml><?xml version="1.0" encoding="utf-8"?>
<ds:datastoreItem xmlns:ds="http://schemas.openxmlformats.org/officeDocument/2006/customXml" ds:itemID="{26418652-A06D-43E3-A97A-9E7D84C75FF0}">
  <ds:schemaRefs/>
</ds:datastoreItem>
</file>

<file path=customXml/itemProps6.xml><?xml version="1.0" encoding="utf-8"?>
<ds:datastoreItem xmlns:ds="http://schemas.openxmlformats.org/officeDocument/2006/customXml" ds:itemID="{53B00009-1F8A-46E2-9AB1-AE498B36E676}">
  <ds:schemaRefs/>
</ds:datastoreItem>
</file>

<file path=customXml/itemProps7.xml><?xml version="1.0" encoding="utf-8"?>
<ds:datastoreItem xmlns:ds="http://schemas.openxmlformats.org/officeDocument/2006/customXml" ds:itemID="{16BDC4CD-7FD4-4094-895D-762093411DF7}">
  <ds:schemaRefs/>
</ds:datastoreItem>
</file>

<file path=customXml/itemProps8.xml><?xml version="1.0" encoding="utf-8"?>
<ds:datastoreItem xmlns:ds="http://schemas.openxmlformats.org/officeDocument/2006/customXml" ds:itemID="{52CAE9EA-931D-47E0-B8A0-6D5565E18DC6}">
  <ds:schemaRefs/>
</ds:datastoreItem>
</file>

<file path=customXml/itemProps9.xml><?xml version="1.0" encoding="utf-8"?>
<ds:datastoreItem xmlns:ds="http://schemas.openxmlformats.org/officeDocument/2006/customXml" ds:itemID="{8BABB8D2-6C6E-485A-A914-1149EBAE5955}">
  <ds:schemaRefs/>
</ds:datastoreItem>
</file>

<file path=customXml/itemProps10.xml><?xml version="1.0" encoding="utf-8"?>
<ds:datastoreItem xmlns:ds="http://schemas.openxmlformats.org/officeDocument/2006/customXml" ds:itemID="{6D8A0090-D784-49BA-A3B0-53ED13DE4855}">
  <ds:schemaRefs/>
</ds:datastoreItem>
</file>

<file path=customXml/itemProps11.xml><?xml version="1.0" encoding="utf-8"?>
<ds:datastoreItem xmlns:ds="http://schemas.openxmlformats.org/officeDocument/2006/customXml" ds:itemID="{58671E97-8837-4D14-B26A-23CDE6CE06F7}">
  <ds:schemaRefs/>
</ds:datastoreItem>
</file>

<file path=customXml/itemProps12.xml><?xml version="1.0" encoding="utf-8"?>
<ds:datastoreItem xmlns:ds="http://schemas.openxmlformats.org/officeDocument/2006/customXml" ds:itemID="{D200F058-511E-4272-A4E8-D1C02F7092C6}">
  <ds:schemaRefs/>
</ds:datastoreItem>
</file>

<file path=customXml/itemProps13.xml><?xml version="1.0" encoding="utf-8"?>
<ds:datastoreItem xmlns:ds="http://schemas.openxmlformats.org/officeDocument/2006/customXml" ds:itemID="{E2EF7D62-4037-459F-8839-90156E9570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Barge</dc:creator>
  <cp:lastModifiedBy>Kiran Barge</cp:lastModifiedBy>
  <dcterms:created xsi:type="dcterms:W3CDTF">2026-06-29T09:26:19Z</dcterms:created>
  <dcterms:modified xsi:type="dcterms:W3CDTF">2026-07-02T13:08:20Z</dcterms:modified>
</cp:coreProperties>
</file>